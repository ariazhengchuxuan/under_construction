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执行清单" sheetId="1" state="visible" r:id="rId3"/>
    <sheet name="统计" sheetId="2" state="visible" r:id="rId4"/>
    <sheet name="会议纪要模板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<sst xmlns="http://schemas.openxmlformats.org/spreadsheetml/2006/main" count="470" uniqueCount="188">
  <si>
    <t xml:space="preserve">ID</t>
  </si>
  <si>
    <t xml:space="preserve">模块</t>
  </si>
  <si>
    <t xml:space="preserve">需求（一句话）</t>
  </si>
  <si>
    <t xml:space="preserve">类型</t>
  </si>
  <si>
    <t xml:space="preserve">优先级</t>
  </si>
  <si>
    <t xml:space="preserve">负责方</t>
  </si>
  <si>
    <t xml:space="preserve">状态</t>
  </si>
  <si>
    <r>
      <rPr>
        <b val="true"/>
        <sz val="11"/>
        <color rgb="FFFFFFFF"/>
        <rFont val="Noto Sans CJK SC"/>
        <family val="2"/>
      </rPr>
      <t xml:space="preserve">预估工时</t>
    </r>
    <r>
      <rPr>
        <b val="true"/>
        <sz val="11"/>
        <color rgb="FFFFFFFF"/>
        <rFont val="Arial"/>
        <family val="0"/>
        <charset val="1"/>
      </rPr>
      <t xml:space="preserve">(d)</t>
    </r>
  </si>
  <si>
    <t xml:space="preserve">Sprint</t>
  </si>
  <si>
    <t xml:space="preserve">依赖</t>
  </si>
  <si>
    <r>
      <rPr>
        <b val="true"/>
        <sz val="11"/>
        <color rgb="FFFFFFFF"/>
        <rFont val="Noto Sans CJK SC"/>
        <family val="2"/>
      </rPr>
      <t xml:space="preserve">备注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来源</t>
    </r>
  </si>
  <si>
    <t xml:space="preserve">E-01</t>
  </si>
  <si>
    <t xml:space="preserve">Event</t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</si>
  <si>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status </t>
    </r>
    <r>
      <rPr>
        <sz val="10"/>
        <rFont val="Noto Sans CJK SC"/>
        <family val="2"/>
      </rPr>
      <t xml:space="preserve">字段（</t>
    </r>
    <r>
      <rPr>
        <sz val="10"/>
        <rFont val="Arial"/>
        <family val="0"/>
        <charset val="1"/>
      </rPr>
      <t xml:space="preserve">upcoming/ongoing/ended</t>
    </r>
    <r>
      <rPr>
        <sz val="10"/>
        <rFont val="Noto Sans CJK SC"/>
        <family val="2"/>
      </rPr>
      <t xml:space="preserve">），由 </t>
    </r>
    <r>
      <rPr>
        <sz val="10"/>
        <rFont val="Arial"/>
        <family val="0"/>
        <charset val="1"/>
      </rPr>
      <t xml:space="preserve">start/end time </t>
    </r>
    <r>
      <rPr>
        <sz val="10"/>
        <rFont val="Noto Sans CJK SC"/>
        <family val="2"/>
      </rPr>
      <t xml:space="preserve">自动计算</t>
    </r>
  </si>
  <si>
    <t xml:space="preserve">LOGIC+DB</t>
  </si>
  <si>
    <t xml:space="preserve">P0</t>
  </si>
  <si>
    <t xml:space="preserve">后端</t>
  </si>
  <si>
    <t xml:space="preserve">未开始</t>
  </si>
  <si>
    <t xml:space="preserve">S1</t>
  </si>
  <si>
    <r>
      <rPr>
        <sz val="10"/>
        <rFont val="Noto Sans CJK SC"/>
        <family val="2"/>
      </rPr>
      <t xml:space="preserve">一次性解决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条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反馈</t>
    </r>
  </si>
  <si>
    <t xml:space="preserve">E-02</t>
  </si>
  <si>
    <r>
      <rPr>
        <sz val="10"/>
        <rFont val="Arial"/>
        <family val="0"/>
        <charset val="1"/>
      </rPr>
      <t xml:space="preserve">Event list API </t>
    </r>
    <r>
      <rPr>
        <sz val="10"/>
        <rFont val="Noto Sans CJK SC"/>
        <family val="2"/>
      </rPr>
      <t xml:space="preserve">支持 </t>
    </r>
    <r>
      <rPr>
        <sz val="10"/>
        <rFont val="Arial"/>
        <family val="0"/>
        <charset val="1"/>
      </rPr>
      <t xml:space="preserve">status/category/tag/date/cost/recurrence/sort </t>
    </r>
    <r>
      <rPr>
        <sz val="10"/>
        <rFont val="Noto Sans CJK SC"/>
        <family val="2"/>
      </rPr>
      <t xml:space="preserve">参数</t>
    </r>
  </si>
  <si>
    <t xml:space="preserve">API</t>
  </si>
  <si>
    <r>
      <rPr>
        <sz val="10"/>
        <rFont val="Arial"/>
        <family val="0"/>
        <charset val="1"/>
      </rPr>
      <t xml:space="preserve">map/home/community </t>
    </r>
    <r>
      <rPr>
        <sz val="10"/>
        <rFont val="Noto Sans CJK SC"/>
        <family val="2"/>
      </rPr>
      <t xml:space="preserve">共用</t>
    </r>
  </si>
  <si>
    <t xml:space="preserve">E-03</t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</si>
  <si>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recurrence </t>
    </r>
    <r>
      <rPr>
        <sz val="10"/>
        <rFont val="Noto Sans CJK SC"/>
        <family val="2"/>
      </rPr>
      <t xml:space="preserve">字段（</t>
    </r>
    <r>
      <rPr>
        <sz val="10"/>
        <rFont val="Arial"/>
        <family val="0"/>
        <charset val="1"/>
      </rPr>
      <t xml:space="preserve">none/daily/weekly/monthly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+ filter </t>
    </r>
    <r>
      <rPr>
        <sz val="10"/>
        <rFont val="Noto Sans CJK SC"/>
        <family val="2"/>
      </rPr>
      <t xml:space="preserve">选项</t>
    </r>
  </si>
  <si>
    <t xml:space="preserve">DB+LOGIC</t>
  </si>
  <si>
    <t xml:space="preserve">P1</t>
  </si>
  <si>
    <r>
      <rPr>
        <sz val="10"/>
        <rFont val="Arial"/>
        <family val="0"/>
        <charset val="1"/>
      </rPr>
      <t xml:space="preserve">UTMSU </t>
    </r>
    <r>
      <rPr>
        <sz val="10"/>
        <rFont val="Noto Sans CJK SC"/>
        <family val="2"/>
      </rPr>
      <t xml:space="preserve">早餐、</t>
    </r>
    <r>
      <rPr>
        <sz val="10"/>
        <rFont val="Arial"/>
        <family val="0"/>
        <charset val="1"/>
      </rPr>
      <t xml:space="preserve">Grace on demand</t>
    </r>
  </si>
  <si>
    <t xml:space="preserve">E-04</t>
  </si>
  <si>
    <r>
      <rPr>
        <sz val="10"/>
        <rFont val="Arial"/>
        <family val="0"/>
        <charset val="1"/>
      </rPr>
      <t xml:space="preserve">Event </t>
    </r>
    <r>
      <rPr>
        <sz val="10"/>
        <rFont val="Noto Sans CJK SC"/>
        <family val="2"/>
      </rPr>
      <t xml:space="preserve">支持多 </t>
    </r>
    <r>
      <rPr>
        <sz val="10"/>
        <rFont val="Arial"/>
        <family val="0"/>
        <charset val="1"/>
      </rPr>
      <t xml:space="preserve">host</t>
    </r>
    <r>
      <rPr>
        <sz val="10"/>
        <rFont val="Noto Sans CJK SC"/>
        <family val="2"/>
      </rPr>
      <t xml:space="preserve">（多对多关系）</t>
    </r>
  </si>
  <si>
    <t xml:space="preserve">DB</t>
  </si>
  <si>
    <r>
      <rPr>
        <sz val="10"/>
        <rFont val="Noto Sans CJK SC"/>
        <family val="2"/>
      </rPr>
      <t xml:space="preserve">前端参考 </t>
    </r>
    <r>
      <rPr>
        <sz val="10"/>
        <rFont val="Arial"/>
        <family val="0"/>
        <charset val="1"/>
      </rPr>
      <t xml:space="preserve">Meetup </t>
    </r>
    <r>
      <rPr>
        <sz val="10"/>
        <rFont val="Noto Sans CJK SC"/>
        <family val="2"/>
      </rPr>
      <t xml:space="preserve">显示 </t>
    </r>
    <r>
      <rPr>
        <sz val="10"/>
        <rFont val="Arial"/>
        <family val="0"/>
        <charset val="1"/>
      </rPr>
      <t xml:space="preserve">and 2 others</t>
    </r>
  </si>
  <si>
    <t xml:space="preserve">E-05</t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</si>
  <si>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cost </t>
    </r>
    <r>
      <rPr>
        <sz val="10"/>
        <rFont val="Noto Sans CJK SC"/>
        <family val="2"/>
      </rPr>
      <t xml:space="preserve">字段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对应 </t>
    </r>
    <r>
      <rPr>
        <sz val="10"/>
        <rFont val="Arial"/>
        <family val="0"/>
        <charset val="1"/>
      </rPr>
      <t xml:space="preserve">filter</t>
    </r>
  </si>
  <si>
    <t xml:space="preserve">DB+API</t>
  </si>
  <si>
    <t xml:space="preserve">Harvey</t>
  </si>
  <si>
    <t xml:space="preserve">E-06</t>
  </si>
  <si>
    <r>
      <rPr>
        <sz val="10"/>
        <rFont val="Arial"/>
        <family val="0"/>
        <charset val="1"/>
      </rPr>
      <t xml:space="preserve">Category </t>
    </r>
    <r>
      <rPr>
        <sz val="10"/>
        <rFont val="Noto Sans CJK SC"/>
        <family val="2"/>
      </rPr>
      <t xml:space="preserve">修正：</t>
    </r>
    <r>
      <rPr>
        <sz val="10"/>
        <rFont val="Arial"/>
        <family val="0"/>
        <charset val="1"/>
      </rPr>
      <t xml:space="preserve">accessibility→service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iccit→academic</t>
    </r>
  </si>
  <si>
    <t xml:space="preserve">E-07</t>
  </si>
  <si>
    <r>
      <rPr>
        <sz val="10"/>
        <rFont val="Arial"/>
        <family val="0"/>
        <charset val="1"/>
      </rPr>
      <t xml:space="preserve">Category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Science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Bio</t>
    </r>
    <r>
      <rPr>
        <sz val="10"/>
        <rFont val="Noto Sans CJK SC"/>
        <family val="2"/>
      </rPr>
      <t xml:space="preserve">）</t>
    </r>
  </si>
  <si>
    <t xml:space="preserve">P2</t>
  </si>
  <si>
    <t xml:space="preserve">S2</t>
  </si>
  <si>
    <t xml:space="preserve">Julian</t>
  </si>
  <si>
    <t xml:space="preserve">E-08</t>
  </si>
  <si>
    <r>
      <rPr>
        <sz val="10"/>
        <rFont val="Arial"/>
        <family val="0"/>
        <charset val="1"/>
      </rPr>
      <t xml:space="preserve">Popularity </t>
    </r>
    <r>
      <rPr>
        <sz val="10"/>
        <rFont val="Noto Sans CJK SC"/>
        <family val="2"/>
      </rPr>
      <t xml:space="preserve">从 </t>
    </r>
    <r>
      <rPr>
        <sz val="10"/>
        <rFont val="Arial"/>
        <family val="0"/>
        <charset val="1"/>
      </rPr>
      <t xml:space="preserve">views </t>
    </r>
    <r>
      <rPr>
        <sz val="10"/>
        <rFont val="Noto Sans CJK SC"/>
        <family val="2"/>
      </rPr>
      <t xml:space="preserve">改为 </t>
    </r>
    <r>
      <rPr>
        <sz val="10"/>
        <rFont val="Arial"/>
        <family val="0"/>
        <charset val="1"/>
      </rPr>
      <t xml:space="preserve">click-through rate</t>
    </r>
  </si>
  <si>
    <t xml:space="preserve">LOGIC</t>
  </si>
  <si>
    <t xml:space="preserve">A-01</t>
  </si>
  <si>
    <r>
      <rPr>
        <sz val="10"/>
        <rFont val="Arial"/>
        <family val="0"/>
        <charset val="1"/>
      </rPr>
      <t xml:space="preserve">Gurleen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Frank</t>
    </r>
  </si>
  <si>
    <t xml:space="preserve">E-09</t>
  </si>
  <si>
    <r>
      <rPr>
        <sz val="10"/>
        <rFont val="Arial"/>
        <family val="0"/>
        <charset val="1"/>
      </rPr>
      <t xml:space="preserve">Registration link </t>
    </r>
    <r>
      <rPr>
        <sz val="10"/>
        <rFont val="Noto Sans CJK SC"/>
        <family val="2"/>
      </rPr>
      <t xml:space="preserve">有效性校验（录入时校验 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</si>
  <si>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MCSS valentine polaroids </t>
    </r>
    <r>
      <rPr>
        <sz val="10"/>
        <rFont val="Noto Sans CJK SC"/>
        <family val="2"/>
      </rPr>
      <t xml:space="preserve">等点不动</t>
    </r>
  </si>
  <si>
    <t xml:space="preserve">E-10</t>
  </si>
  <si>
    <r>
      <rPr>
        <sz val="10"/>
        <rFont val="Noto Sans CJK SC"/>
        <family val="2"/>
      </rPr>
      <t xml:space="preserve">数据清洗：去掉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等异常日期 </t>
    </r>
    <r>
      <rPr>
        <sz val="10"/>
        <rFont val="Arial"/>
        <family val="0"/>
        <charset val="1"/>
      </rPr>
      <t xml:space="preserve">event</t>
    </r>
  </si>
  <si>
    <t xml:space="preserve">Gurshan</t>
  </si>
  <si>
    <t xml:space="preserve">E-11</t>
  </si>
  <si>
    <r>
      <rPr>
        <sz val="10"/>
        <rFont val="Arial"/>
        <family val="0"/>
        <charset val="1"/>
      </rPr>
      <t xml:space="preserve">event list </t>
    </r>
    <r>
      <rPr>
        <sz val="10"/>
        <rFont val="Noto Sans CJK SC"/>
        <family val="2"/>
      </rPr>
      <t xml:space="preserve">返回 </t>
    </r>
    <r>
      <rPr>
        <sz val="10"/>
        <rFont val="Arial"/>
        <family val="0"/>
        <charset val="1"/>
      </rPr>
      <t xml:space="preserve">total_count </t>
    </r>
    <r>
      <rPr>
        <sz val="10"/>
        <rFont val="Noto Sans CJK SC"/>
        <family val="2"/>
      </rPr>
      <t xml:space="preserve">字段</t>
    </r>
  </si>
  <si>
    <t xml:space="preserve">Frank</t>
  </si>
  <si>
    <t xml:space="preserve">E-12</t>
  </si>
  <si>
    <r>
      <rPr>
        <sz val="10"/>
        <rFont val="Noto Sans CJK SC"/>
        <family val="2"/>
      </rPr>
      <t xml:space="preserve">海报原图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字段（支持点击放大）</t>
    </r>
  </si>
  <si>
    <t xml:space="preserve">Melody</t>
  </si>
  <si>
    <t xml:space="preserve">E-13</t>
  </si>
  <si>
    <r>
      <rPr>
        <sz val="10"/>
        <rFont val="Arial"/>
        <family val="0"/>
        <charset val="1"/>
      </rPr>
      <t xml:space="preserve">past event </t>
    </r>
    <r>
      <rPr>
        <sz val="10"/>
        <rFont val="Noto Sans CJK SC"/>
        <family val="2"/>
      </rPr>
      <t xml:space="preserve">分段查询（</t>
    </r>
    <r>
      <rPr>
        <sz val="10"/>
        <rFont val="Arial"/>
        <family val="0"/>
        <charset val="1"/>
      </rPr>
      <t xml:space="preserve">7d/1m/2m</t>
    </r>
    <r>
      <rPr>
        <sz val="10"/>
        <rFont val="Noto Sans CJK SC"/>
        <family val="2"/>
      </rPr>
      <t xml:space="preserve">）</t>
    </r>
  </si>
  <si>
    <t xml:space="preserve">P3</t>
  </si>
  <si>
    <t xml:space="preserve">S3</t>
  </si>
  <si>
    <t xml:space="preserve">M-01</t>
  </si>
  <si>
    <t xml:space="preserve">Map</t>
  </si>
  <si>
    <r>
      <rPr>
        <sz val="10"/>
        <rFont val="Arial"/>
        <family val="0"/>
        <charset val="1"/>
      </rPr>
      <t xml:space="preserve">Building </t>
    </r>
    <r>
      <rPr>
        <sz val="10"/>
        <rFont val="Noto Sans CJK SC"/>
        <family val="2"/>
      </rPr>
      <t xml:space="preserve">表建模：</t>
    </r>
    <r>
      <rPr>
        <sz val="10"/>
        <rFont val="Arial"/>
        <family val="0"/>
        <charset val="1"/>
      </rPr>
      <t xml:space="preserve">name/aliases/image/coords/description</t>
    </r>
  </si>
  <si>
    <r>
      <rPr>
        <sz val="10"/>
        <rFont val="Noto Sans CJK SC"/>
        <family val="2"/>
      </rPr>
      <t xml:space="preserve">支撑搜索 </t>
    </r>
    <r>
      <rPr>
        <sz val="10"/>
        <rFont val="Arial"/>
        <family val="0"/>
        <charset val="1"/>
      </rPr>
      <t xml:space="preserve">+ hover</t>
    </r>
  </si>
  <si>
    <t xml:space="preserve">M-02</t>
  </si>
  <si>
    <r>
      <rPr>
        <sz val="10"/>
        <rFont val="Arial"/>
        <family val="0"/>
        <charset val="1"/>
      </rPr>
      <t xml:space="preserve">GET /buildings/{id}/events </t>
    </r>
    <r>
      <rPr>
        <sz val="10"/>
        <rFont val="Noto Sans CJK SC"/>
        <family val="2"/>
      </rPr>
      <t xml:space="preserve">按时间范围返回 </t>
    </r>
    <r>
      <rPr>
        <sz val="10"/>
        <rFont val="Arial"/>
        <family val="0"/>
        <charset val="1"/>
      </rPr>
      <t xml:space="preserve">event list</t>
    </r>
  </si>
  <si>
    <t xml:space="preserve">M-01,E-02</t>
  </si>
  <si>
    <t xml:space="preserve">M-03</t>
  </si>
  <si>
    <r>
      <rPr>
        <sz val="10"/>
        <rFont val="Arial"/>
        <family val="0"/>
        <charset val="1"/>
      </rPr>
      <t xml:space="preserve">Map </t>
    </r>
    <r>
      <rPr>
        <sz val="10"/>
        <rFont val="Noto Sans CJK SC"/>
        <family val="2"/>
      </rPr>
      <t xml:space="preserve">默认时间范围：当前日期 </t>
    </r>
    <r>
      <rPr>
        <sz val="10"/>
        <rFont val="Arial"/>
        <family val="0"/>
        <charset val="1"/>
      </rPr>
      <t xml:space="preserve">±30 </t>
    </r>
    <r>
      <rPr>
        <sz val="10"/>
        <rFont val="Noto Sans CJK SC"/>
        <family val="2"/>
      </rPr>
      <t xml:space="preserve">天</t>
    </r>
  </si>
  <si>
    <t xml:space="preserve">Gurleen</t>
  </si>
  <si>
    <t xml:space="preserve">M-04</t>
  </si>
  <si>
    <r>
      <rPr>
        <sz val="10"/>
        <rFont val="Arial"/>
        <family val="0"/>
        <charset val="1"/>
      </rPr>
      <t xml:space="preserve">Map </t>
    </r>
    <r>
      <rPr>
        <sz val="10"/>
        <rFont val="Noto Sans CJK SC"/>
        <family val="2"/>
      </rPr>
      <t xml:space="preserve">不展示 </t>
    </r>
    <r>
      <rPr>
        <sz val="10"/>
        <rFont val="Arial"/>
        <family val="0"/>
        <charset val="1"/>
      </rPr>
      <t xml:space="preserve">ended events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filter </t>
    </r>
    <r>
      <rPr>
        <sz val="10"/>
        <rFont val="Noto Sans CJK SC"/>
        <family val="2"/>
      </rPr>
      <t xml:space="preserve">默认）</t>
    </r>
  </si>
  <si>
    <r>
      <rPr>
        <sz val="10"/>
        <rFont val="Noto Sans CJK SC"/>
        <family val="2"/>
      </rPr>
      <t xml:space="preserve">前端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后端</t>
    </r>
  </si>
  <si>
    <t xml:space="preserve">M-05</t>
  </si>
  <si>
    <r>
      <rPr>
        <sz val="10"/>
        <rFont val="Noto Sans CJK SC"/>
        <family val="2"/>
      </rPr>
      <t xml:space="preserve">首页 </t>
    </r>
    <r>
      <rPr>
        <sz val="10"/>
        <rFont val="Arial"/>
        <family val="0"/>
        <charset val="1"/>
      </rPr>
      <t xml:space="preserve">mini map </t>
    </r>
    <r>
      <rPr>
        <sz val="10"/>
        <rFont val="Noto Sans CJK SC"/>
        <family val="2"/>
      </rPr>
      <t xml:space="preserve">每建筑活动数量 </t>
    </r>
    <r>
      <rPr>
        <sz val="10"/>
        <rFont val="Arial"/>
        <family val="0"/>
        <charset val="1"/>
      </rPr>
      <t xml:space="preserve">count </t>
    </r>
    <r>
      <rPr>
        <sz val="10"/>
        <rFont val="Noto Sans CJK SC"/>
        <family val="2"/>
      </rPr>
      <t xml:space="preserve">字段</t>
    </r>
  </si>
  <si>
    <r>
      <rPr>
        <sz val="10"/>
        <rFont val="Arial"/>
        <family val="0"/>
        <charset val="1"/>
      </rPr>
      <t xml:space="preserve">mobile </t>
    </r>
    <r>
      <rPr>
        <sz val="10"/>
        <rFont val="Noto Sans CJK SC"/>
        <family val="2"/>
      </rPr>
      <t xml:space="preserve">版</t>
    </r>
  </si>
  <si>
    <t xml:space="preserve">M-06</t>
  </si>
  <si>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MapPOI </t>
    </r>
    <r>
      <rPr>
        <sz val="10"/>
        <rFont val="Noto Sans CJK SC"/>
        <family val="2"/>
      </rPr>
      <t xml:space="preserve">表（</t>
    </r>
    <r>
      <rPr>
        <sz val="10"/>
        <rFont val="Arial"/>
        <family val="0"/>
        <charset val="1"/>
      </rPr>
      <t xml:space="preserve">prayer room/washroom/food/residence desk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</si>
  <si>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Kaylee</t>
    </r>
    <r>
      <rPr>
        <sz val="10"/>
        <rFont val="Noto Sans CJK SC"/>
        <family val="2"/>
      </rPr>
      <t xml:space="preserve">，长期价值高</t>
    </r>
  </si>
  <si>
    <t xml:space="preserve">C-01</t>
  </si>
  <si>
    <t xml:space="preserve">Community</t>
  </si>
  <si>
    <r>
      <rPr>
        <sz val="10"/>
        <rFont val="Arial"/>
        <family val="0"/>
        <charset val="1"/>
      </rPr>
      <t xml:space="preserve">Club </t>
    </r>
    <r>
      <rPr>
        <sz val="10"/>
        <rFont val="Noto Sans CJK SC"/>
        <family val="2"/>
      </rPr>
      <t xml:space="preserve">表建模：含 </t>
    </r>
    <r>
      <rPr>
        <sz val="10"/>
        <rFont val="Arial"/>
        <family val="0"/>
        <charset val="1"/>
      </rPr>
      <t xml:space="preserve">avatar/category(max 3)/ig/linktree/follower_count</t>
    </r>
  </si>
  <si>
    <t xml:space="preserve">C-02</t>
  </si>
  <si>
    <r>
      <rPr>
        <sz val="10"/>
        <rFont val="Arial"/>
        <family val="0"/>
        <charset val="1"/>
      </rPr>
      <t xml:space="preserve">Club </t>
    </r>
    <r>
      <rPr>
        <sz val="10"/>
        <rFont val="Noto Sans CJK SC"/>
        <family val="2"/>
      </rPr>
      <t xml:space="preserve">和 </t>
    </r>
    <r>
      <rPr>
        <sz val="10"/>
        <rFont val="Arial"/>
        <family val="0"/>
        <charset val="1"/>
      </rPr>
      <t xml:space="preserve">Event </t>
    </r>
    <r>
      <rPr>
        <sz val="10"/>
        <rFont val="Noto Sans CJK SC"/>
        <family val="2"/>
      </rPr>
      <t xml:space="preserve">多对多关联</t>
    </r>
  </si>
  <si>
    <t xml:space="preserve">C-03</t>
  </si>
  <si>
    <r>
      <rPr>
        <sz val="10"/>
        <rFont val="Arial"/>
        <family val="0"/>
        <charset val="1"/>
      </rPr>
      <t xml:space="preserve">Category </t>
    </r>
    <r>
      <rPr>
        <sz val="10"/>
        <rFont val="Noto Sans CJK SC"/>
        <family val="2"/>
      </rPr>
      <t xml:space="preserve">枚举统一（</t>
    </r>
    <r>
      <rPr>
        <sz val="10"/>
        <rFont val="Arial"/>
        <family val="0"/>
        <charset val="1"/>
      </rPr>
      <t xml:space="preserve">18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tag</t>
    </r>
    <r>
      <rPr>
        <sz val="10"/>
        <rFont val="Noto Sans CJK SC"/>
        <family val="2"/>
      </rPr>
      <t xml:space="preserve">，社团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活动共用）</t>
    </r>
  </si>
  <si>
    <r>
      <rPr>
        <sz val="10"/>
        <rFont val="Noto Sans CJK SC"/>
        <family val="2"/>
      </rPr>
      <t xml:space="preserve">见文档 </t>
    </r>
    <r>
      <rPr>
        <sz val="10"/>
        <rFont val="Arial"/>
        <family val="0"/>
        <charset val="1"/>
      </rPr>
      <t xml:space="preserve">tag </t>
    </r>
    <r>
      <rPr>
        <sz val="10"/>
        <rFont val="Noto Sans CJK SC"/>
        <family val="2"/>
      </rPr>
      <t xml:space="preserve">表</t>
    </r>
  </si>
  <si>
    <t xml:space="preserve">C-04</t>
  </si>
  <si>
    <r>
      <rPr>
        <sz val="10"/>
        <rFont val="Noto Sans CJK SC"/>
        <family val="2"/>
      </rPr>
      <t xml:space="preserve">列表排序：只保留 </t>
    </r>
    <r>
      <rPr>
        <sz val="10"/>
        <rFont val="Arial"/>
        <family val="0"/>
        <charset val="1"/>
      </rPr>
      <t xml:space="preserve">Most followers + Alphabetical</t>
    </r>
  </si>
  <si>
    <t xml:space="preserve">Noah</t>
  </si>
  <si>
    <t xml:space="preserve">C-05</t>
  </si>
  <si>
    <r>
      <rPr>
        <sz val="10"/>
        <rFont val="Noto Sans CJK SC"/>
        <family val="2"/>
      </rPr>
      <t xml:space="preserve">社团卡片的 </t>
    </r>
    <r>
      <rPr>
        <sz val="10"/>
        <rFont val="Arial"/>
        <family val="0"/>
        <charset val="1"/>
      </rPr>
      <t xml:space="preserve">event_count </t>
    </r>
    <r>
      <rPr>
        <sz val="10"/>
        <rFont val="Noto Sans CJK SC"/>
        <family val="2"/>
      </rPr>
      <t xml:space="preserve">只算 </t>
    </r>
    <r>
      <rPr>
        <sz val="10"/>
        <rFont val="Arial"/>
        <family val="0"/>
        <charset val="1"/>
      </rPr>
      <t xml:space="preserve">ongoing</t>
    </r>
  </si>
  <si>
    <t xml:space="preserve">C-06</t>
  </si>
  <si>
    <r>
      <rPr>
        <sz val="10"/>
        <rFont val="Arial"/>
        <family val="0"/>
        <charset val="1"/>
      </rPr>
      <t xml:space="preserve">Related Clubs </t>
    </r>
    <r>
      <rPr>
        <sz val="10"/>
        <rFont val="Noto Sans CJK SC"/>
        <family val="2"/>
      </rPr>
      <t xml:space="preserve">计算（基于 </t>
    </r>
    <r>
      <rPr>
        <sz val="10"/>
        <rFont val="Arial"/>
        <family val="0"/>
        <charset val="1"/>
      </rPr>
      <t xml:space="preserve">category / </t>
    </r>
    <r>
      <rPr>
        <sz val="10"/>
        <rFont val="Noto Sans CJK SC"/>
        <family val="2"/>
      </rPr>
      <t xml:space="preserve">共同活动）</t>
    </r>
  </si>
  <si>
    <t xml:space="preserve">LOGIC+API</t>
  </si>
  <si>
    <t xml:space="preserve">C-01,C-03</t>
  </si>
  <si>
    <t xml:space="preserve">Kauri</t>
  </si>
  <si>
    <t xml:space="preserve">C-07</t>
  </si>
  <si>
    <r>
      <rPr>
        <sz val="10"/>
        <rFont val="Arial"/>
        <family val="0"/>
        <charset val="1"/>
      </rPr>
      <t xml:space="preserve">Trending Clubs </t>
    </r>
    <r>
      <rPr>
        <sz val="10"/>
        <rFont val="Noto Sans CJK SC"/>
        <family val="2"/>
      </rPr>
      <t xml:space="preserve">数据源加上 </t>
    </r>
    <r>
      <rPr>
        <sz val="10"/>
        <rFont val="Arial"/>
        <family val="0"/>
        <charset val="1"/>
      </rPr>
      <t xml:space="preserve">services</t>
    </r>
  </si>
  <si>
    <t xml:space="preserve">S-01</t>
  </si>
  <si>
    <t xml:space="preserve">Search</t>
  </si>
  <si>
    <r>
      <rPr>
        <sz val="10"/>
        <rFont val="Noto Sans CJK SC"/>
        <family val="2"/>
      </rPr>
      <t xml:space="preserve">建筑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社团 </t>
    </r>
    <r>
      <rPr>
        <sz val="10"/>
        <rFont val="Arial"/>
        <family val="0"/>
        <charset val="1"/>
      </rPr>
      <t xml:space="preserve">alias </t>
    </r>
    <r>
      <rPr>
        <sz val="10"/>
        <rFont val="Noto Sans CJK SC"/>
        <family val="2"/>
      </rPr>
      <t xml:space="preserve">词库（</t>
    </r>
    <r>
      <rPr>
        <sz val="10"/>
        <rFont val="Arial"/>
        <family val="0"/>
        <charset val="1"/>
      </rPr>
      <t xml:space="preserve">DH/MN/RAWC </t>
    </r>
    <r>
      <rPr>
        <sz val="10"/>
        <rFont val="Noto Sans CJK SC"/>
        <family val="2"/>
      </rPr>
      <t xml:space="preserve">等）</t>
    </r>
  </si>
  <si>
    <t xml:space="preserve">M-01,C-01</t>
  </si>
  <si>
    <t xml:space="preserve">成本低影响大</t>
  </si>
  <si>
    <t xml:space="preserve">S-02</t>
  </si>
  <si>
    <r>
      <rPr>
        <sz val="10"/>
        <rFont val="Arial"/>
        <family val="0"/>
        <charset val="1"/>
      </rPr>
      <t xml:space="preserve">Home/Map/Community </t>
    </r>
    <r>
      <rPr>
        <sz val="10"/>
        <rFont val="Noto Sans CJK SC"/>
        <family val="2"/>
      </rPr>
      <t xml:space="preserve">用同一个搜索接口</t>
    </r>
  </si>
  <si>
    <t xml:space="preserve">S-03</t>
  </si>
  <si>
    <t xml:space="preserve">多语言搜索支持（长期）</t>
  </si>
  <si>
    <t xml:space="preserve">待定</t>
  </si>
  <si>
    <r>
      <rPr>
        <sz val="10"/>
        <rFont val="Arial"/>
        <family val="0"/>
        <charset val="1"/>
      </rPr>
      <t xml:space="preserve">Gurleen</t>
    </r>
    <r>
      <rPr>
        <sz val="10"/>
        <rFont val="Noto Sans CJK SC"/>
        <family val="2"/>
      </rPr>
      <t xml:space="preserve">，国际学生</t>
    </r>
  </si>
  <si>
    <t xml:space="preserve">U-01</t>
  </si>
  <si>
    <t xml:space="preserve">User/Auth</t>
  </si>
  <si>
    <r>
      <rPr>
        <sz val="10"/>
        <rFont val="Arial"/>
        <family val="0"/>
        <charset val="1"/>
      </rPr>
      <t xml:space="preserve">Google OAuth </t>
    </r>
    <r>
      <rPr>
        <sz val="10"/>
        <rFont val="Noto Sans CJK SC"/>
        <family val="2"/>
      </rPr>
      <t xml:space="preserve">登录</t>
    </r>
  </si>
  <si>
    <t xml:space="preserve">AUTH</t>
  </si>
  <si>
    <t xml:space="preserve">U-02</t>
  </si>
  <si>
    <r>
      <rPr>
        <sz val="10"/>
        <rFont val="Noto Sans CJK SC"/>
        <family val="2"/>
      </rPr>
      <t xml:space="preserve">角色区分：</t>
    </r>
    <r>
      <rPr>
        <sz val="10"/>
        <rFont val="Arial"/>
        <family val="0"/>
        <charset val="1"/>
      </rPr>
      <t xml:space="preserve">general/club_exec(verified)/admin + </t>
    </r>
    <r>
      <rPr>
        <sz val="10"/>
        <rFont val="Noto Sans CJK SC"/>
        <family val="2"/>
      </rPr>
      <t xml:space="preserve">权限控制</t>
    </r>
  </si>
  <si>
    <r>
      <rPr>
        <sz val="10"/>
        <rFont val="Noto Sans CJK SC"/>
        <family val="2"/>
      </rPr>
      <t xml:space="preserve">决定能不能 </t>
    </r>
    <r>
      <rPr>
        <sz val="10"/>
        <rFont val="Arial"/>
        <family val="0"/>
        <charset val="1"/>
      </rPr>
      <t xml:space="preserve">post event</t>
    </r>
  </si>
  <si>
    <t xml:space="preserve">U-03</t>
  </si>
  <si>
    <r>
      <rPr>
        <sz val="10"/>
        <rFont val="Arial"/>
        <family val="0"/>
        <charset val="1"/>
      </rPr>
      <t xml:space="preserve">POST /events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verified </t>
    </r>
    <r>
      <rPr>
        <sz val="10"/>
        <rFont val="Noto Sans CJK SC"/>
        <family val="2"/>
      </rPr>
      <t xml:space="preserve">直发，普通走审核队列</t>
    </r>
  </si>
  <si>
    <t xml:space="preserve">API+LOGIC</t>
  </si>
  <si>
    <t xml:space="preserve">U-04</t>
  </si>
  <si>
    <r>
      <rPr>
        <sz val="10"/>
        <rFont val="Arial"/>
        <family val="0"/>
        <charset val="1"/>
      </rPr>
      <t xml:space="preserve">User profile </t>
    </r>
    <r>
      <rPr>
        <sz val="10"/>
        <rFont val="Noto Sans CJK SC"/>
        <family val="2"/>
      </rPr>
      <t xml:space="preserve">增加 </t>
    </r>
    <r>
      <rPr>
        <sz val="10"/>
        <rFont val="Arial"/>
        <family val="0"/>
        <charset val="1"/>
      </rPr>
      <t xml:space="preserve">saved_events</t>
    </r>
    <r>
      <rPr>
        <sz val="10"/>
        <rFont val="Noto Sans CJK SC"/>
        <family val="2"/>
      </rPr>
      <t xml:space="preserve">（原 </t>
    </r>
    <r>
      <rPr>
        <sz val="10"/>
        <rFont val="Arial"/>
        <family val="0"/>
        <charset val="1"/>
      </rPr>
      <t xml:space="preserve">favourite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</si>
  <si>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Jelani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Kauri</t>
    </r>
  </si>
  <si>
    <t xml:space="preserve">U-05</t>
  </si>
  <si>
    <r>
      <rPr>
        <sz val="10"/>
        <rFont val="Arial"/>
        <family val="0"/>
        <charset val="1"/>
      </rPr>
      <t xml:space="preserve">User profile </t>
    </r>
    <r>
      <rPr>
        <sz val="10"/>
        <rFont val="Noto Sans CJK SC"/>
        <family val="2"/>
      </rPr>
      <t xml:space="preserve">增加 </t>
    </r>
    <r>
      <rPr>
        <sz val="10"/>
        <rFont val="Arial"/>
        <family val="0"/>
        <charset val="1"/>
      </rPr>
      <t xml:space="preserve">recently_viewed_events</t>
    </r>
  </si>
  <si>
    <t xml:space="preserve">Analytics</t>
  </si>
  <si>
    <r>
      <rPr>
        <sz val="10"/>
        <rFont val="Noto Sans CJK SC"/>
        <family val="2"/>
      </rPr>
      <t xml:space="preserve">埋点：</t>
    </r>
    <r>
      <rPr>
        <sz val="10"/>
        <rFont val="Arial"/>
        <family val="0"/>
        <charset val="1"/>
      </rPr>
      <t xml:space="preserve">bounce rate / time on page / CTR / demand</t>
    </r>
  </si>
  <si>
    <r>
      <rPr>
        <sz val="10"/>
        <rFont val="Arial"/>
        <family val="0"/>
        <charset val="1"/>
      </rPr>
      <t xml:space="preserve">Nabil</t>
    </r>
    <r>
      <rPr>
        <sz val="10"/>
        <rFont val="Noto Sans CJK SC"/>
        <family val="2"/>
      </rPr>
      <t xml:space="preserve">，可接 </t>
    </r>
    <r>
      <rPr>
        <sz val="10"/>
        <rFont val="Arial"/>
        <family val="0"/>
        <charset val="1"/>
      </rPr>
      <t xml:space="preserve">GA/PostHog</t>
    </r>
  </si>
  <si>
    <t xml:space="preserve">A-02</t>
  </si>
  <si>
    <r>
      <rPr>
        <sz val="10"/>
        <rFont val="Arial"/>
        <family val="0"/>
        <charset val="1"/>
      </rPr>
      <t xml:space="preserve">Popularity </t>
    </r>
    <r>
      <rPr>
        <sz val="10"/>
        <rFont val="Noto Sans CJK SC"/>
        <family val="2"/>
      </rPr>
      <t xml:space="preserve">计算作业（基于 </t>
    </r>
    <r>
      <rPr>
        <sz val="10"/>
        <rFont val="Arial"/>
        <family val="0"/>
        <charset val="1"/>
      </rPr>
      <t xml:space="preserve">CTR </t>
    </r>
    <r>
      <rPr>
        <sz val="10"/>
        <rFont val="Noto Sans CJK SC"/>
        <family val="2"/>
      </rPr>
      <t xml:space="preserve">定时跑）</t>
    </r>
  </si>
  <si>
    <t xml:space="preserve">N-01</t>
  </si>
  <si>
    <t xml:space="preserve">Content</t>
  </si>
  <si>
    <r>
      <rPr>
        <sz val="10"/>
        <rFont val="Noto Sans CJK SC"/>
        <family val="2"/>
      </rPr>
      <t xml:space="preserve">接入 </t>
    </r>
    <r>
      <rPr>
        <sz val="10"/>
        <rFont val="Arial"/>
        <family val="0"/>
        <charset val="1"/>
      </rPr>
      <t xml:space="preserve">CLNX </t>
    </r>
    <r>
      <rPr>
        <sz val="10"/>
        <rFont val="Noto Sans CJK SC"/>
        <family val="2"/>
      </rPr>
      <t xml:space="preserve">作为活动数据源</t>
    </r>
  </si>
  <si>
    <t xml:space="preserve">CRAWLER</t>
  </si>
  <si>
    <t xml:space="preserve">N-02</t>
  </si>
  <si>
    <r>
      <rPr>
        <sz val="10"/>
        <rFont val="Noto Sans CJK SC"/>
        <family val="2"/>
      </rPr>
      <t xml:space="preserve">增加 </t>
    </r>
    <r>
      <rPr>
        <sz val="10"/>
        <rFont val="Arial"/>
        <family val="0"/>
        <charset val="1"/>
      </rPr>
      <t xml:space="preserve">ICCIT </t>
    </r>
    <r>
      <rPr>
        <sz val="10"/>
        <rFont val="Noto Sans CJK SC"/>
        <family val="2"/>
      </rPr>
      <t xml:space="preserve">过往活动数据覆盖</t>
    </r>
  </si>
  <si>
    <t xml:space="preserve">Jelani</t>
  </si>
  <si>
    <t xml:space="preserve">N-03</t>
  </si>
  <si>
    <r>
      <rPr>
        <sz val="10"/>
        <rFont val="Noto Sans CJK SC"/>
        <family val="2"/>
      </rPr>
      <t xml:space="preserve">接入 </t>
    </r>
    <r>
      <rPr>
        <sz val="10"/>
        <rFont val="Arial"/>
        <family val="0"/>
        <charset val="1"/>
      </rPr>
      <t xml:space="preserve">Admissions open house / campus tour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utmfuture</t>
    </r>
    <r>
      <rPr>
        <sz val="10"/>
        <rFont val="Noto Sans CJK SC"/>
        <family val="2"/>
      </rPr>
      <t xml:space="preserve">）</t>
    </r>
  </si>
  <si>
    <t xml:space="preserve">N-04</t>
  </si>
  <si>
    <r>
      <rPr>
        <sz val="10"/>
        <rFont val="Arial"/>
        <family val="0"/>
        <charset val="1"/>
      </rPr>
      <t xml:space="preserve">UTMSU </t>
    </r>
    <r>
      <rPr>
        <sz val="10"/>
        <rFont val="Noto Sans CJK SC"/>
        <family val="2"/>
      </rPr>
      <t xml:space="preserve">常规活动（每周三早餐等）</t>
    </r>
  </si>
  <si>
    <t xml:space="preserve">N-05</t>
  </si>
  <si>
    <r>
      <rPr>
        <sz val="10"/>
        <rFont val="Arial"/>
        <family val="0"/>
        <charset val="1"/>
      </rPr>
      <t xml:space="preserve">News </t>
    </r>
    <r>
      <rPr>
        <sz val="10"/>
        <rFont val="Noto Sans CJK SC"/>
        <family val="2"/>
      </rPr>
      <t xml:space="preserve">表建模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首页</t>
    </r>
    <r>
      <rPr>
        <sz val="10"/>
        <rFont val="Arial"/>
        <family val="0"/>
        <charset val="1"/>
      </rPr>
      <t xml:space="preserve">/Map </t>
    </r>
    <r>
      <rPr>
        <sz val="10"/>
        <rFont val="Noto Sans CJK SC"/>
        <family val="2"/>
      </rPr>
      <t xml:space="preserve">页接口</t>
    </r>
  </si>
  <si>
    <t xml:space="preserve">The Medium</t>
  </si>
  <si>
    <t xml:space="preserve">F-01</t>
  </si>
  <si>
    <t xml:space="preserve">Feedback</t>
  </si>
  <si>
    <r>
      <rPr>
        <sz val="10"/>
        <rFont val="Noto Sans CJK SC"/>
        <family val="2"/>
      </rPr>
      <t xml:space="preserve">修复 </t>
    </r>
    <r>
      <rPr>
        <sz val="10"/>
        <rFont val="Arial"/>
        <family val="0"/>
        <charset val="1"/>
      </rPr>
      <t xml:space="preserve">Contact us </t>
    </r>
    <r>
      <rPr>
        <sz val="10"/>
        <rFont val="Noto Sans CJK SC"/>
        <family val="2"/>
      </rPr>
      <t xml:space="preserve">按钮点不动的问题</t>
    </r>
  </si>
  <si>
    <t xml:space="preserve">API+FE</t>
  </si>
  <si>
    <t xml:space="preserve">F-02</t>
  </si>
  <si>
    <r>
      <rPr>
        <sz val="10"/>
        <rFont val="Arial"/>
        <family val="0"/>
        <charset val="1"/>
      </rPr>
      <t xml:space="preserve">Contact us / Feedback </t>
    </r>
    <r>
      <rPr>
        <sz val="10"/>
        <rFont val="Noto Sans CJK SC"/>
        <family val="2"/>
      </rPr>
      <t xml:space="preserve">提交接口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邮件通知</t>
    </r>
  </si>
  <si>
    <t xml:space="preserve">F-03</t>
  </si>
  <si>
    <r>
      <rPr>
        <sz val="10"/>
        <rFont val="Arial"/>
        <family val="0"/>
        <charset val="1"/>
      </rPr>
      <t xml:space="preserve">FAQ </t>
    </r>
    <r>
      <rPr>
        <sz val="10"/>
        <rFont val="Noto Sans CJK SC"/>
        <family val="2"/>
      </rPr>
      <t xml:space="preserve">表增加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条：活动更新频率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如何建社团</t>
    </r>
  </si>
  <si>
    <r>
      <rPr>
        <b val="true"/>
        <sz val="16"/>
        <color rgb="FF1F4E79"/>
        <rFont val="Arial"/>
        <family val="0"/>
        <charset val="1"/>
      </rPr>
      <t xml:space="preserve">What2Do </t>
    </r>
    <r>
      <rPr>
        <b val="true"/>
        <sz val="16"/>
        <color rgb="FF1F4E79"/>
        <rFont val="Noto Sans CJK SC"/>
        <family val="2"/>
      </rPr>
      <t xml:space="preserve">需求统计仪表盘</t>
    </r>
  </si>
  <si>
    <t xml:space="preserve">按优先级</t>
  </si>
  <si>
    <r>
      <rPr>
        <b val="true"/>
        <sz val="11"/>
        <rFont val="Arial"/>
        <family val="0"/>
        <charset val="1"/>
      </rPr>
      <t xml:space="preserve">Sprint 1 </t>
    </r>
    <r>
      <rPr>
        <b val="true"/>
        <sz val="11"/>
        <rFont val="Noto Sans CJK SC"/>
        <family val="2"/>
      </rPr>
      <t xml:space="preserve">总工时</t>
    </r>
    <r>
      <rPr>
        <b val="true"/>
        <sz val="11"/>
        <rFont val="Arial"/>
        <family val="0"/>
        <charset val="1"/>
      </rPr>
      <t xml:space="preserve">(d)</t>
    </r>
  </si>
  <si>
    <t xml:space="preserve">数量</t>
  </si>
  <si>
    <t xml:space="preserve">占比</t>
  </si>
  <si>
    <r>
      <rPr>
        <b val="true"/>
        <sz val="11"/>
        <rFont val="Arial"/>
        <family val="0"/>
        <charset val="1"/>
      </rPr>
      <t xml:space="preserve">Sprint 2 </t>
    </r>
    <r>
      <rPr>
        <b val="true"/>
        <sz val="11"/>
        <rFont val="Noto Sans CJK SC"/>
        <family val="2"/>
      </rPr>
      <t xml:space="preserve">总工时</t>
    </r>
    <r>
      <rPr>
        <b val="true"/>
        <sz val="11"/>
        <rFont val="Arial"/>
        <family val="0"/>
        <charset val="1"/>
      </rPr>
      <t xml:space="preserve">(d)</t>
    </r>
  </si>
  <si>
    <r>
      <rPr>
        <b val="true"/>
        <sz val="11"/>
        <rFont val="Arial"/>
        <family val="0"/>
        <charset val="1"/>
      </rPr>
      <t xml:space="preserve">Sprint 3 </t>
    </r>
    <r>
      <rPr>
        <b val="true"/>
        <sz val="11"/>
        <rFont val="Noto Sans CJK SC"/>
        <family val="2"/>
      </rPr>
      <t xml:space="preserve">总工时</t>
    </r>
    <r>
      <rPr>
        <b val="true"/>
        <sz val="11"/>
        <rFont val="Arial"/>
        <family val="0"/>
        <charset val="1"/>
      </rPr>
      <t xml:space="preserve">(d)</t>
    </r>
  </si>
  <si>
    <t xml:space="preserve">总需求条数</t>
  </si>
  <si>
    <r>
      <rPr>
        <b val="true"/>
        <sz val="11"/>
        <rFont val="Noto Sans CJK SC"/>
        <family val="2"/>
      </rPr>
      <t xml:space="preserve">总工时估算</t>
    </r>
    <r>
      <rPr>
        <b val="true"/>
        <sz val="11"/>
        <rFont val="Arial"/>
        <family val="0"/>
        <charset val="1"/>
      </rPr>
      <t xml:space="preserve">(d)</t>
    </r>
  </si>
  <si>
    <t xml:space="preserve">按模块</t>
  </si>
  <si>
    <t xml:space="preserve">按状态</t>
  </si>
  <si>
    <t xml:space="preserve">进行中</t>
  </si>
  <si>
    <t xml:space="preserve">待验收</t>
  </si>
  <si>
    <t xml:space="preserve">已完成</t>
  </si>
  <si>
    <t xml:space="preserve">暂缓</t>
  </si>
  <si>
    <r>
      <rPr>
        <b val="true"/>
        <sz val="16"/>
        <color rgb="FF1F4E79"/>
        <rFont val="Noto Sans CJK SC"/>
        <family val="2"/>
      </rPr>
      <t xml:space="preserve">需求评审会议纪要 </t>
    </r>
    <r>
      <rPr>
        <b val="true"/>
        <sz val="16"/>
        <color rgb="FF1F4E79"/>
        <rFont val="Arial"/>
        <family val="0"/>
        <charset val="1"/>
      </rPr>
      <t xml:space="preserve">[</t>
    </r>
    <r>
      <rPr>
        <b val="true"/>
        <sz val="16"/>
        <color rgb="FF1F4E79"/>
        <rFont val="Noto Sans CJK SC"/>
        <family val="2"/>
      </rPr>
      <t xml:space="preserve">日期</t>
    </r>
    <r>
      <rPr>
        <b val="true"/>
        <sz val="16"/>
        <color rgb="FF1F4E79"/>
        <rFont val="Arial"/>
        <family val="0"/>
        <charset val="1"/>
      </rPr>
      <t xml:space="preserve">]</t>
    </r>
  </si>
  <si>
    <t xml:space="preserve">时间</t>
  </si>
  <si>
    <t xml:space="preserve">参与人</t>
  </si>
  <si>
    <t xml:space="preserve">会议目标</t>
  </si>
  <si>
    <r>
      <rPr>
        <b val="true"/>
        <sz val="11"/>
        <rFont val="Noto Sans CJK SC"/>
        <family val="2"/>
      </rPr>
      <t xml:space="preserve">本次 </t>
    </r>
    <r>
      <rPr>
        <b val="true"/>
        <sz val="11"/>
        <rFont val="Arial"/>
        <family val="0"/>
        <charset val="1"/>
      </rPr>
      <t xml:space="preserve">Sprint </t>
    </r>
    <r>
      <rPr>
        <b val="true"/>
        <sz val="11"/>
        <rFont val="Noto Sans CJK SC"/>
        <family val="2"/>
      </rPr>
      <t xml:space="preserve">范围</t>
    </r>
  </si>
  <si>
    <r>
      <rPr>
        <sz val="11"/>
        <color theme="1"/>
        <rFont val="Noto Sans CJK SC"/>
        <family val="2"/>
      </rPr>
      <t xml:space="preserve">从执行清单勾选出本 </t>
    </r>
    <r>
      <rPr>
        <sz val="11"/>
        <color theme="1"/>
        <rFont val="Calibri"/>
        <family val="2"/>
        <charset val="1"/>
      </rPr>
      <t xml:space="preserve">Sprint </t>
    </r>
    <r>
      <rPr>
        <sz val="11"/>
        <color theme="1"/>
        <rFont val="Noto Sans CJK SC"/>
        <family val="2"/>
      </rPr>
      <t xml:space="preserve">做的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：</t>
    </r>
  </si>
  <si>
    <t xml:space="preserve">关键决策</t>
  </si>
  <si>
    <t xml:space="preserve">1. </t>
  </si>
  <si>
    <t xml:space="preserve">2. </t>
  </si>
  <si>
    <t xml:space="preserve">3. </t>
  </si>
  <si>
    <r>
      <rPr>
        <b val="true"/>
        <sz val="11"/>
        <rFont val="Noto Sans CJK SC"/>
        <family val="2"/>
      </rPr>
      <t xml:space="preserve">遗留问题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下次讨论</t>
    </r>
  </si>
  <si>
    <t xml:space="preserve">- </t>
  </si>
  <si>
    <t xml:space="preserve">Action Items</t>
  </si>
  <si>
    <r>
      <rPr>
        <sz val="11"/>
        <color theme="1"/>
        <rFont val="Noto Sans CJK SC"/>
        <family val="2"/>
      </rPr>
      <t xml:space="preserve">谁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Noto Sans CJK SC"/>
        <family val="2"/>
      </rPr>
      <t xml:space="preserve">做什么 </t>
    </r>
    <r>
      <rPr>
        <sz val="11"/>
        <color theme="1"/>
        <rFont val="Calibri"/>
        <family val="2"/>
        <charset val="1"/>
      </rPr>
      <t xml:space="preserve">| DDL</t>
    </r>
  </si>
  <si>
    <t xml:space="preserve"> | | </t>
  </si>
  <si>
    <t xml:space="preserve">下次同步时间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</si>
</sst>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6"/>
      <color rgb="FF1F4E79"/>
      <name val="Noto Sans CJK SC"/>
      <family val="2"/>
    </font>
    <font>
      <b val="true"/>
      <sz val="12"/>
      <name val="Noto Sans CJK SC"/>
      <family val="2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DEDED"/>
      </patternFill>
    </fill>
    <fill>
      <patternFill patternType="solid">
        <fgColor rgb="FFFFC7CE"/>
        <bgColor rgb="FFF4CCC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D9D9D9"/>
        <bgColor rgb="FFE4DFEC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9D9D9"/>
      </patternFill>
    </fill>
    <fill>
      <patternFill patternType="solid">
        <fgColor rgb="FFF4CCCC"/>
        <bgColor rgb="FFFFC7CE"/>
      </patternFill>
    </fill>
    <fill>
      <patternFill patternType="solid">
        <fgColor rgb="FFCFE2F3"/>
        <bgColor rgb="FFDEEBF7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EEBF7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D9D9"/>
      <rgbColor rgb="FFFFC7CE"/>
      <rgbColor rgb="FFE4DFEC"/>
      <rgbColor rgb="FFF4CCCC"/>
      <rgbColor rgb="FF2E75B6"/>
      <rgbColor rgb="FF33CCCC"/>
      <rgbColor rgb="FF99CC00"/>
      <rgbColor rgb="FFFCE4D6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35"/>
  </cols>
  <sheetData>
    <row r="1" customFormat="false" ht="31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customFormat="false" ht="31.5" hidden="false" customHeight="true" outlineLevel="0" collapsed="false">
      <c r="A2" s="3" t="s">
        <v>11</v>
      </c>
      <c r="B2" s="4" t="s">
        <v>12</v>
      </c>
      <c r="C2" s="5" t="s">
        <v>13</v>
      </c>
      <c r="D2" s="3" t="s">
        <v>14</v>
      </c>
      <c r="E2" s="6" t="s">
        <v>15</v>
      </c>
      <c r="F2" s="5" t="s">
        <v>16</v>
      </c>
      <c r="G2" s="5" t="s">
        <v>17</v>
      </c>
      <c r="H2" s="3" t="n">
        <v>2</v>
      </c>
      <c r="I2" s="3" t="s">
        <v>18</v>
      </c>
      <c r="J2" s="3"/>
      <c r="K2" s="5" t="s">
        <v>19</v>
      </c>
    </row>
    <row r="3" customFormat="false" ht="31.5" hidden="false" customHeight="true" outlineLevel="0" collapsed="false">
      <c r="A3" s="3" t="s">
        <v>20</v>
      </c>
      <c r="B3" s="4" t="s">
        <v>12</v>
      </c>
      <c r="C3" s="3" t="s">
        <v>21</v>
      </c>
      <c r="D3" s="3" t="s">
        <v>22</v>
      </c>
      <c r="E3" s="6" t="s">
        <v>15</v>
      </c>
      <c r="F3" s="5" t="s">
        <v>16</v>
      </c>
      <c r="G3" s="5" t="s">
        <v>17</v>
      </c>
      <c r="H3" s="3" t="n">
        <v>3</v>
      </c>
      <c r="I3" s="3" t="s">
        <v>18</v>
      </c>
      <c r="J3" s="3" t="s">
        <v>11</v>
      </c>
      <c r="K3" s="3" t="s">
        <v>23</v>
      </c>
    </row>
    <row r="4" customFormat="false" ht="31.5" hidden="false" customHeight="true" outlineLevel="0" collapsed="false">
      <c r="A4" s="3" t="s">
        <v>24</v>
      </c>
      <c r="B4" s="4" t="s">
        <v>12</v>
      </c>
      <c r="C4" s="5" t="s">
        <v>25</v>
      </c>
      <c r="D4" s="3" t="s">
        <v>26</v>
      </c>
      <c r="E4" s="7" t="s">
        <v>27</v>
      </c>
      <c r="F4" s="5" t="s">
        <v>16</v>
      </c>
      <c r="G4" s="5" t="s">
        <v>17</v>
      </c>
      <c r="H4" s="3" t="n">
        <v>2</v>
      </c>
      <c r="I4" s="3" t="s">
        <v>18</v>
      </c>
      <c r="J4" s="3"/>
      <c r="K4" s="3" t="s">
        <v>28</v>
      </c>
    </row>
    <row r="5" customFormat="false" ht="31.5" hidden="false" customHeight="true" outlineLevel="0" collapsed="false">
      <c r="A5" s="3" t="s">
        <v>29</v>
      </c>
      <c r="B5" s="4" t="s">
        <v>12</v>
      </c>
      <c r="C5" s="3" t="s">
        <v>30</v>
      </c>
      <c r="D5" s="3" t="s">
        <v>31</v>
      </c>
      <c r="E5" s="7" t="s">
        <v>27</v>
      </c>
      <c r="F5" s="5" t="s">
        <v>16</v>
      </c>
      <c r="G5" s="5" t="s">
        <v>17</v>
      </c>
      <c r="H5" s="3" t="n">
        <v>1.5</v>
      </c>
      <c r="I5" s="3" t="s">
        <v>18</v>
      </c>
      <c r="J5" s="3"/>
      <c r="K5" s="5" t="s">
        <v>32</v>
      </c>
    </row>
    <row r="6" customFormat="false" ht="31.5" hidden="false" customHeight="true" outlineLevel="0" collapsed="false">
      <c r="A6" s="3" t="s">
        <v>33</v>
      </c>
      <c r="B6" s="4" t="s">
        <v>12</v>
      </c>
      <c r="C6" s="5" t="s">
        <v>34</v>
      </c>
      <c r="D6" s="3" t="s">
        <v>35</v>
      </c>
      <c r="E6" s="7" t="s">
        <v>27</v>
      </c>
      <c r="F6" s="5" t="s">
        <v>16</v>
      </c>
      <c r="G6" s="5" t="s">
        <v>17</v>
      </c>
      <c r="H6" s="3" t="n">
        <v>0.5</v>
      </c>
      <c r="I6" s="3" t="s">
        <v>18</v>
      </c>
      <c r="J6" s="3"/>
      <c r="K6" s="3" t="s">
        <v>36</v>
      </c>
    </row>
    <row r="7" customFormat="false" ht="31.5" hidden="false" customHeight="true" outlineLevel="0" collapsed="false">
      <c r="A7" s="3" t="s">
        <v>37</v>
      </c>
      <c r="B7" s="4" t="s">
        <v>12</v>
      </c>
      <c r="C7" s="3" t="s">
        <v>38</v>
      </c>
      <c r="D7" s="3" t="s">
        <v>31</v>
      </c>
      <c r="E7" s="7" t="s">
        <v>27</v>
      </c>
      <c r="F7" s="5" t="s">
        <v>16</v>
      </c>
      <c r="G7" s="5" t="s">
        <v>17</v>
      </c>
      <c r="H7" s="3" t="n">
        <v>0.5</v>
      </c>
      <c r="I7" s="3" t="s">
        <v>18</v>
      </c>
      <c r="J7" s="3"/>
      <c r="K7" s="3" t="s">
        <v>36</v>
      </c>
    </row>
    <row r="8" customFormat="false" ht="31.5" hidden="false" customHeight="true" outlineLevel="0" collapsed="false">
      <c r="A8" s="3" t="s">
        <v>39</v>
      </c>
      <c r="B8" s="4" t="s">
        <v>12</v>
      </c>
      <c r="C8" s="3" t="s">
        <v>40</v>
      </c>
      <c r="D8" s="3" t="s">
        <v>31</v>
      </c>
      <c r="E8" s="8" t="s">
        <v>41</v>
      </c>
      <c r="F8" s="5" t="s">
        <v>16</v>
      </c>
      <c r="G8" s="5" t="s">
        <v>17</v>
      </c>
      <c r="H8" s="3" t="n">
        <v>0.3</v>
      </c>
      <c r="I8" s="3" t="s">
        <v>42</v>
      </c>
      <c r="J8" s="3"/>
      <c r="K8" s="3" t="s">
        <v>43</v>
      </c>
    </row>
    <row r="9" customFormat="false" ht="31.5" hidden="false" customHeight="true" outlineLevel="0" collapsed="false">
      <c r="A9" s="3" t="s">
        <v>44</v>
      </c>
      <c r="B9" s="4" t="s">
        <v>12</v>
      </c>
      <c r="C9" s="3" t="s">
        <v>45</v>
      </c>
      <c r="D9" s="3" t="s">
        <v>46</v>
      </c>
      <c r="E9" s="7" t="s">
        <v>27</v>
      </c>
      <c r="F9" s="5" t="s">
        <v>16</v>
      </c>
      <c r="G9" s="5" t="s">
        <v>17</v>
      </c>
      <c r="H9" s="3" t="n">
        <v>2</v>
      </c>
      <c r="I9" s="3" t="s">
        <v>42</v>
      </c>
      <c r="J9" s="3" t="s">
        <v>47</v>
      </c>
      <c r="K9" s="3" t="s">
        <v>48</v>
      </c>
    </row>
    <row r="10" customFormat="false" ht="31.5" hidden="false" customHeight="true" outlineLevel="0" collapsed="false">
      <c r="A10" s="3" t="s">
        <v>49</v>
      </c>
      <c r="B10" s="4" t="s">
        <v>12</v>
      </c>
      <c r="C10" s="3" t="s">
        <v>50</v>
      </c>
      <c r="D10" s="3" t="s">
        <v>46</v>
      </c>
      <c r="E10" s="7" t="s">
        <v>27</v>
      </c>
      <c r="F10" s="5" t="s">
        <v>16</v>
      </c>
      <c r="G10" s="5" t="s">
        <v>17</v>
      </c>
      <c r="H10" s="3" t="n">
        <v>1</v>
      </c>
      <c r="I10" s="3" t="s">
        <v>42</v>
      </c>
      <c r="J10" s="3"/>
      <c r="K10" s="3" t="s">
        <v>51</v>
      </c>
    </row>
    <row r="11" customFormat="false" ht="31.5" hidden="false" customHeight="true" outlineLevel="0" collapsed="false">
      <c r="A11" s="3" t="s">
        <v>52</v>
      </c>
      <c r="B11" s="4" t="s">
        <v>12</v>
      </c>
      <c r="C11" s="5" t="s">
        <v>53</v>
      </c>
      <c r="D11" s="3" t="s">
        <v>46</v>
      </c>
      <c r="E11" s="8" t="s">
        <v>41</v>
      </c>
      <c r="F11" s="5" t="s">
        <v>16</v>
      </c>
      <c r="G11" s="5" t="s">
        <v>17</v>
      </c>
      <c r="H11" s="3" t="n">
        <v>0.5</v>
      </c>
      <c r="I11" s="3" t="s">
        <v>42</v>
      </c>
      <c r="J11" s="3"/>
      <c r="K11" s="3" t="s">
        <v>54</v>
      </c>
    </row>
    <row r="12" customFormat="false" ht="31.5" hidden="false" customHeight="true" outlineLevel="0" collapsed="false">
      <c r="A12" s="3" t="s">
        <v>55</v>
      </c>
      <c r="B12" s="4" t="s">
        <v>12</v>
      </c>
      <c r="C12" s="3" t="s">
        <v>56</v>
      </c>
      <c r="D12" s="3" t="s">
        <v>22</v>
      </c>
      <c r="E12" s="8" t="s">
        <v>41</v>
      </c>
      <c r="F12" s="5" t="s">
        <v>16</v>
      </c>
      <c r="G12" s="5" t="s">
        <v>17</v>
      </c>
      <c r="H12" s="3" t="n">
        <v>0.3</v>
      </c>
      <c r="I12" s="3" t="s">
        <v>42</v>
      </c>
      <c r="J12" s="3" t="s">
        <v>20</v>
      </c>
      <c r="K12" s="3" t="s">
        <v>57</v>
      </c>
    </row>
    <row r="13" customFormat="false" ht="31.5" hidden="false" customHeight="true" outlineLevel="0" collapsed="false">
      <c r="A13" s="3" t="s">
        <v>58</v>
      </c>
      <c r="B13" s="4" t="s">
        <v>12</v>
      </c>
      <c r="C13" s="5" t="s">
        <v>59</v>
      </c>
      <c r="D13" s="3" t="s">
        <v>31</v>
      </c>
      <c r="E13" s="8" t="s">
        <v>41</v>
      </c>
      <c r="F13" s="5" t="s">
        <v>16</v>
      </c>
      <c r="G13" s="5" t="s">
        <v>17</v>
      </c>
      <c r="H13" s="3" t="n">
        <v>0.3</v>
      </c>
      <c r="I13" s="3" t="s">
        <v>42</v>
      </c>
      <c r="J13" s="3"/>
      <c r="K13" s="3" t="s">
        <v>60</v>
      </c>
    </row>
    <row r="14" customFormat="false" ht="31.5" hidden="false" customHeight="true" outlineLevel="0" collapsed="false">
      <c r="A14" s="3" t="s">
        <v>61</v>
      </c>
      <c r="B14" s="4" t="s">
        <v>12</v>
      </c>
      <c r="C14" s="3" t="s">
        <v>62</v>
      </c>
      <c r="D14" s="3" t="s">
        <v>22</v>
      </c>
      <c r="E14" s="9" t="s">
        <v>63</v>
      </c>
      <c r="F14" s="5" t="s">
        <v>16</v>
      </c>
      <c r="G14" s="5" t="s">
        <v>17</v>
      </c>
      <c r="H14" s="3" t="n">
        <v>0.5</v>
      </c>
      <c r="I14" s="3" t="s">
        <v>64</v>
      </c>
      <c r="J14" s="3" t="s">
        <v>20</v>
      </c>
      <c r="K14" s="3" t="s">
        <v>57</v>
      </c>
    </row>
    <row r="15" customFormat="false" ht="31.5" hidden="false" customHeight="true" outlineLevel="0" collapsed="false">
      <c r="A15" s="3" t="s">
        <v>65</v>
      </c>
      <c r="B15" s="10" t="s">
        <v>66</v>
      </c>
      <c r="C15" s="3" t="s">
        <v>67</v>
      </c>
      <c r="D15" s="3" t="s">
        <v>31</v>
      </c>
      <c r="E15" s="6" t="s">
        <v>15</v>
      </c>
      <c r="F15" s="5" t="s">
        <v>16</v>
      </c>
      <c r="G15" s="5" t="s">
        <v>17</v>
      </c>
      <c r="H15" s="3" t="n">
        <v>1.5</v>
      </c>
      <c r="I15" s="3" t="s">
        <v>18</v>
      </c>
      <c r="J15" s="3"/>
      <c r="K15" s="5" t="s">
        <v>68</v>
      </c>
    </row>
    <row r="16" customFormat="false" ht="31.5" hidden="false" customHeight="true" outlineLevel="0" collapsed="false">
      <c r="A16" s="3" t="s">
        <v>69</v>
      </c>
      <c r="B16" s="10" t="s">
        <v>66</v>
      </c>
      <c r="C16" s="3" t="s">
        <v>70</v>
      </c>
      <c r="D16" s="3" t="s">
        <v>22</v>
      </c>
      <c r="E16" s="6" t="s">
        <v>15</v>
      </c>
      <c r="F16" s="5" t="s">
        <v>16</v>
      </c>
      <c r="G16" s="5" t="s">
        <v>17</v>
      </c>
      <c r="H16" s="3" t="n">
        <v>1</v>
      </c>
      <c r="I16" s="3" t="s">
        <v>18</v>
      </c>
      <c r="J16" s="3" t="s">
        <v>71</v>
      </c>
      <c r="K16" s="3"/>
    </row>
    <row r="17" customFormat="false" ht="31.5" hidden="false" customHeight="true" outlineLevel="0" collapsed="false">
      <c r="A17" s="3" t="s">
        <v>72</v>
      </c>
      <c r="B17" s="10" t="s">
        <v>66</v>
      </c>
      <c r="C17" s="3" t="s">
        <v>73</v>
      </c>
      <c r="D17" s="3" t="s">
        <v>46</v>
      </c>
      <c r="E17" s="7" t="s">
        <v>27</v>
      </c>
      <c r="F17" s="5" t="s">
        <v>16</v>
      </c>
      <c r="G17" s="5" t="s">
        <v>17</v>
      </c>
      <c r="H17" s="3" t="n">
        <v>0.3</v>
      </c>
      <c r="I17" s="3" t="s">
        <v>18</v>
      </c>
      <c r="J17" s="3" t="s">
        <v>20</v>
      </c>
      <c r="K17" s="3" t="s">
        <v>74</v>
      </c>
    </row>
    <row r="18" customFormat="false" ht="31.5" hidden="false" customHeight="true" outlineLevel="0" collapsed="false">
      <c r="A18" s="3" t="s">
        <v>75</v>
      </c>
      <c r="B18" s="10" t="s">
        <v>66</v>
      </c>
      <c r="C18" s="3" t="s">
        <v>76</v>
      </c>
      <c r="D18" s="3" t="s">
        <v>46</v>
      </c>
      <c r="E18" s="7" t="s">
        <v>27</v>
      </c>
      <c r="F18" s="5" t="s">
        <v>77</v>
      </c>
      <c r="G18" s="5" t="s">
        <v>17</v>
      </c>
      <c r="H18" s="3" t="n">
        <v>0.3</v>
      </c>
      <c r="I18" s="3" t="s">
        <v>18</v>
      </c>
      <c r="J18" s="3" t="s">
        <v>11</v>
      </c>
      <c r="K18" s="3" t="s">
        <v>57</v>
      </c>
    </row>
    <row r="19" customFormat="false" ht="31.5" hidden="false" customHeight="true" outlineLevel="0" collapsed="false">
      <c r="A19" s="3" t="s">
        <v>78</v>
      </c>
      <c r="B19" s="10" t="s">
        <v>66</v>
      </c>
      <c r="C19" s="5" t="s">
        <v>79</v>
      </c>
      <c r="D19" s="3" t="s">
        <v>22</v>
      </c>
      <c r="E19" s="8" t="s">
        <v>41</v>
      </c>
      <c r="F19" s="5" t="s">
        <v>16</v>
      </c>
      <c r="G19" s="5" t="s">
        <v>17</v>
      </c>
      <c r="H19" s="3" t="n">
        <v>0.5</v>
      </c>
      <c r="I19" s="3" t="s">
        <v>42</v>
      </c>
      <c r="J19" s="3" t="s">
        <v>69</v>
      </c>
      <c r="K19" s="3" t="s">
        <v>80</v>
      </c>
    </row>
    <row r="20" customFormat="false" ht="31.5" hidden="false" customHeight="true" outlineLevel="0" collapsed="false">
      <c r="A20" s="3" t="s">
        <v>81</v>
      </c>
      <c r="B20" s="10" t="s">
        <v>66</v>
      </c>
      <c r="C20" s="5" t="s">
        <v>82</v>
      </c>
      <c r="D20" s="3" t="s">
        <v>35</v>
      </c>
      <c r="E20" s="8" t="s">
        <v>41</v>
      </c>
      <c r="F20" s="5" t="s">
        <v>16</v>
      </c>
      <c r="G20" s="5" t="s">
        <v>17</v>
      </c>
      <c r="H20" s="3" t="n">
        <v>2</v>
      </c>
      <c r="I20" s="3" t="s">
        <v>64</v>
      </c>
      <c r="J20" s="3"/>
      <c r="K20" s="3" t="s">
        <v>83</v>
      </c>
    </row>
    <row r="21" customFormat="false" ht="31.5" hidden="false" customHeight="true" outlineLevel="0" collapsed="false">
      <c r="A21" s="3" t="s">
        <v>84</v>
      </c>
      <c r="B21" s="11" t="s">
        <v>85</v>
      </c>
      <c r="C21" s="3" t="s">
        <v>86</v>
      </c>
      <c r="D21" s="3" t="s">
        <v>31</v>
      </c>
      <c r="E21" s="6" t="s">
        <v>15</v>
      </c>
      <c r="F21" s="5" t="s">
        <v>16</v>
      </c>
      <c r="G21" s="5" t="s">
        <v>17</v>
      </c>
      <c r="H21" s="3" t="n">
        <v>1</v>
      </c>
      <c r="I21" s="3" t="s">
        <v>18</v>
      </c>
      <c r="J21" s="3"/>
      <c r="K21" s="3"/>
    </row>
    <row r="22" customFormat="false" ht="31.5" hidden="false" customHeight="true" outlineLevel="0" collapsed="false">
      <c r="A22" s="3" t="s">
        <v>87</v>
      </c>
      <c r="B22" s="11" t="s">
        <v>85</v>
      </c>
      <c r="C22" s="3" t="s">
        <v>88</v>
      </c>
      <c r="D22" s="3" t="s">
        <v>31</v>
      </c>
      <c r="E22" s="7" t="s">
        <v>27</v>
      </c>
      <c r="F22" s="5" t="s">
        <v>16</v>
      </c>
      <c r="G22" s="5" t="s">
        <v>17</v>
      </c>
      <c r="H22" s="3" t="n">
        <v>0.5</v>
      </c>
      <c r="I22" s="3" t="s">
        <v>18</v>
      </c>
      <c r="J22" s="3" t="s">
        <v>84</v>
      </c>
      <c r="K22" s="3"/>
    </row>
    <row r="23" customFormat="false" ht="31.5" hidden="false" customHeight="true" outlineLevel="0" collapsed="false">
      <c r="A23" s="3" t="s">
        <v>89</v>
      </c>
      <c r="B23" s="11" t="s">
        <v>85</v>
      </c>
      <c r="C23" s="3" t="s">
        <v>90</v>
      </c>
      <c r="D23" s="3" t="s">
        <v>31</v>
      </c>
      <c r="E23" s="7" t="s">
        <v>27</v>
      </c>
      <c r="F23" s="5" t="s">
        <v>77</v>
      </c>
      <c r="G23" s="5" t="s">
        <v>17</v>
      </c>
      <c r="H23" s="3" t="n">
        <v>0.5</v>
      </c>
      <c r="I23" s="3" t="s">
        <v>18</v>
      </c>
      <c r="J23" s="3"/>
      <c r="K23" s="5" t="s">
        <v>91</v>
      </c>
    </row>
    <row r="24" customFormat="false" ht="31.5" hidden="false" customHeight="true" outlineLevel="0" collapsed="false">
      <c r="A24" s="3" t="s">
        <v>92</v>
      </c>
      <c r="B24" s="11" t="s">
        <v>85</v>
      </c>
      <c r="C24" s="5" t="s">
        <v>93</v>
      </c>
      <c r="D24" s="3" t="s">
        <v>22</v>
      </c>
      <c r="E24" s="7" t="s">
        <v>27</v>
      </c>
      <c r="F24" s="5" t="s">
        <v>16</v>
      </c>
      <c r="G24" s="5" t="s">
        <v>17</v>
      </c>
      <c r="H24" s="3" t="n">
        <v>0.3</v>
      </c>
      <c r="I24" s="3" t="s">
        <v>18</v>
      </c>
      <c r="J24" s="3"/>
      <c r="K24" s="3" t="s">
        <v>94</v>
      </c>
    </row>
    <row r="25" customFormat="false" ht="31.5" hidden="false" customHeight="true" outlineLevel="0" collapsed="false">
      <c r="A25" s="3" t="s">
        <v>95</v>
      </c>
      <c r="B25" s="11" t="s">
        <v>85</v>
      </c>
      <c r="C25" s="5" t="s">
        <v>96</v>
      </c>
      <c r="D25" s="3" t="s">
        <v>22</v>
      </c>
      <c r="E25" s="8" t="s">
        <v>41</v>
      </c>
      <c r="F25" s="5" t="s">
        <v>16</v>
      </c>
      <c r="G25" s="5" t="s">
        <v>17</v>
      </c>
      <c r="H25" s="3" t="n">
        <v>0.3</v>
      </c>
      <c r="I25" s="3" t="s">
        <v>42</v>
      </c>
      <c r="J25" s="3" t="s">
        <v>11</v>
      </c>
      <c r="K25" s="3" t="s">
        <v>60</v>
      </c>
    </row>
    <row r="26" customFormat="false" ht="31.5" hidden="false" customHeight="true" outlineLevel="0" collapsed="false">
      <c r="A26" s="3" t="s">
        <v>97</v>
      </c>
      <c r="B26" s="11" t="s">
        <v>85</v>
      </c>
      <c r="C26" s="3" t="s">
        <v>98</v>
      </c>
      <c r="D26" s="3" t="s">
        <v>99</v>
      </c>
      <c r="E26" s="8" t="s">
        <v>41</v>
      </c>
      <c r="F26" s="5" t="s">
        <v>16</v>
      </c>
      <c r="G26" s="5" t="s">
        <v>17</v>
      </c>
      <c r="H26" s="3" t="n">
        <v>1.5</v>
      </c>
      <c r="I26" s="3" t="s">
        <v>64</v>
      </c>
      <c r="J26" s="3" t="s">
        <v>100</v>
      </c>
      <c r="K26" s="3" t="s">
        <v>101</v>
      </c>
    </row>
    <row r="27" customFormat="false" ht="31.5" hidden="false" customHeight="true" outlineLevel="0" collapsed="false">
      <c r="A27" s="3" t="s">
        <v>102</v>
      </c>
      <c r="B27" s="11" t="s">
        <v>85</v>
      </c>
      <c r="C27" s="3" t="s">
        <v>103</v>
      </c>
      <c r="D27" s="3" t="s">
        <v>35</v>
      </c>
      <c r="E27" s="8" t="s">
        <v>41</v>
      </c>
      <c r="F27" s="5" t="s">
        <v>16</v>
      </c>
      <c r="G27" s="5" t="s">
        <v>17</v>
      </c>
      <c r="H27" s="3" t="n">
        <v>0.3</v>
      </c>
      <c r="I27" s="3" t="s">
        <v>42</v>
      </c>
      <c r="J27" s="3"/>
      <c r="K27" s="3" t="s">
        <v>36</v>
      </c>
    </row>
    <row r="28" customFormat="false" ht="31.5" hidden="false" customHeight="true" outlineLevel="0" collapsed="false">
      <c r="A28" s="3" t="s">
        <v>104</v>
      </c>
      <c r="B28" s="12" t="s">
        <v>105</v>
      </c>
      <c r="C28" s="5" t="s">
        <v>106</v>
      </c>
      <c r="D28" s="3" t="s">
        <v>26</v>
      </c>
      <c r="E28" s="6" t="s">
        <v>15</v>
      </c>
      <c r="F28" s="5" t="s">
        <v>16</v>
      </c>
      <c r="G28" s="5" t="s">
        <v>17</v>
      </c>
      <c r="H28" s="3" t="n">
        <v>1.5</v>
      </c>
      <c r="I28" s="3" t="s">
        <v>18</v>
      </c>
      <c r="J28" s="3" t="s">
        <v>107</v>
      </c>
      <c r="K28" s="5" t="s">
        <v>108</v>
      </c>
    </row>
    <row r="29" customFormat="false" ht="31.5" hidden="false" customHeight="true" outlineLevel="0" collapsed="false">
      <c r="A29" s="3" t="s">
        <v>109</v>
      </c>
      <c r="B29" s="12" t="s">
        <v>105</v>
      </c>
      <c r="C29" s="3" t="s">
        <v>110</v>
      </c>
      <c r="D29" s="3" t="s">
        <v>22</v>
      </c>
      <c r="E29" s="7" t="s">
        <v>27</v>
      </c>
      <c r="F29" s="5" t="s">
        <v>16</v>
      </c>
      <c r="G29" s="5" t="s">
        <v>17</v>
      </c>
      <c r="H29" s="3" t="n">
        <v>1</v>
      </c>
      <c r="I29" s="3" t="s">
        <v>18</v>
      </c>
      <c r="J29" s="3" t="s">
        <v>104</v>
      </c>
      <c r="K29" s="3"/>
    </row>
    <row r="30" customFormat="false" ht="31.5" hidden="false" customHeight="true" outlineLevel="0" collapsed="false">
      <c r="A30" s="3" t="s">
        <v>111</v>
      </c>
      <c r="B30" s="12" t="s">
        <v>105</v>
      </c>
      <c r="C30" s="5" t="s">
        <v>112</v>
      </c>
      <c r="D30" s="3" t="s">
        <v>46</v>
      </c>
      <c r="E30" s="9" t="s">
        <v>63</v>
      </c>
      <c r="F30" s="5" t="s">
        <v>16</v>
      </c>
      <c r="G30" s="5" t="s">
        <v>17</v>
      </c>
      <c r="H30" s="3" t="n">
        <v>5</v>
      </c>
      <c r="I30" s="5" t="s">
        <v>113</v>
      </c>
      <c r="J30" s="3"/>
      <c r="K30" s="3" t="s">
        <v>114</v>
      </c>
    </row>
    <row r="31" customFormat="false" ht="31.5" hidden="false" customHeight="true" outlineLevel="0" collapsed="false">
      <c r="A31" s="3" t="s">
        <v>115</v>
      </c>
      <c r="B31" s="13" t="s">
        <v>116</v>
      </c>
      <c r="C31" s="3" t="s">
        <v>117</v>
      </c>
      <c r="D31" s="3" t="s">
        <v>118</v>
      </c>
      <c r="E31" s="7" t="s">
        <v>27</v>
      </c>
      <c r="F31" s="5" t="s">
        <v>16</v>
      </c>
      <c r="G31" s="5" t="s">
        <v>17</v>
      </c>
      <c r="H31" s="3" t="n">
        <v>2</v>
      </c>
      <c r="I31" s="3" t="s">
        <v>42</v>
      </c>
      <c r="J31" s="3"/>
      <c r="K31" s="3" t="s">
        <v>57</v>
      </c>
    </row>
    <row r="32" customFormat="false" ht="31.5" hidden="false" customHeight="true" outlineLevel="0" collapsed="false">
      <c r="A32" s="3" t="s">
        <v>119</v>
      </c>
      <c r="B32" s="13" t="s">
        <v>116</v>
      </c>
      <c r="C32" s="5" t="s">
        <v>120</v>
      </c>
      <c r="D32" s="3" t="s">
        <v>118</v>
      </c>
      <c r="E32" s="6" t="s">
        <v>15</v>
      </c>
      <c r="F32" s="5" t="s">
        <v>16</v>
      </c>
      <c r="G32" s="5" t="s">
        <v>17</v>
      </c>
      <c r="H32" s="3" t="n">
        <v>3</v>
      </c>
      <c r="I32" s="3" t="s">
        <v>42</v>
      </c>
      <c r="J32" s="3" t="s">
        <v>115</v>
      </c>
      <c r="K32" s="5" t="s">
        <v>121</v>
      </c>
    </row>
    <row r="33" customFormat="false" ht="31.5" hidden="false" customHeight="true" outlineLevel="0" collapsed="false">
      <c r="A33" s="3" t="s">
        <v>122</v>
      </c>
      <c r="B33" s="13" t="s">
        <v>116</v>
      </c>
      <c r="C33" s="3" t="s">
        <v>123</v>
      </c>
      <c r="D33" s="3" t="s">
        <v>124</v>
      </c>
      <c r="E33" s="7" t="s">
        <v>27</v>
      </c>
      <c r="F33" s="5" t="s">
        <v>16</v>
      </c>
      <c r="G33" s="5" t="s">
        <v>17</v>
      </c>
      <c r="H33" s="3" t="n">
        <v>2</v>
      </c>
      <c r="I33" s="3" t="s">
        <v>42</v>
      </c>
      <c r="J33" s="3" t="s">
        <v>119</v>
      </c>
      <c r="K33" s="3" t="s">
        <v>57</v>
      </c>
    </row>
    <row r="34" customFormat="false" ht="31.5" hidden="false" customHeight="true" outlineLevel="0" collapsed="false">
      <c r="A34" s="3" t="s">
        <v>125</v>
      </c>
      <c r="B34" s="13" t="s">
        <v>116</v>
      </c>
      <c r="C34" s="3" t="s">
        <v>126</v>
      </c>
      <c r="D34" s="3" t="s">
        <v>35</v>
      </c>
      <c r="E34" s="7" t="s">
        <v>27</v>
      </c>
      <c r="F34" s="5" t="s">
        <v>16</v>
      </c>
      <c r="G34" s="5" t="s">
        <v>17</v>
      </c>
      <c r="H34" s="3" t="n">
        <v>1</v>
      </c>
      <c r="I34" s="3" t="s">
        <v>42</v>
      </c>
      <c r="J34" s="3"/>
      <c r="K34" s="3" t="s">
        <v>127</v>
      </c>
    </row>
    <row r="35" customFormat="false" ht="31.5" hidden="false" customHeight="true" outlineLevel="0" collapsed="false">
      <c r="A35" s="3" t="s">
        <v>128</v>
      </c>
      <c r="B35" s="13" t="s">
        <v>116</v>
      </c>
      <c r="C35" s="3" t="s">
        <v>129</v>
      </c>
      <c r="D35" s="3" t="s">
        <v>35</v>
      </c>
      <c r="E35" s="7" t="s">
        <v>27</v>
      </c>
      <c r="F35" s="5" t="s">
        <v>16</v>
      </c>
      <c r="G35" s="5" t="s">
        <v>17</v>
      </c>
      <c r="H35" s="3" t="n">
        <v>1</v>
      </c>
      <c r="I35" s="3" t="s">
        <v>42</v>
      </c>
      <c r="J35" s="3"/>
      <c r="K35" s="3" t="s">
        <v>127</v>
      </c>
    </row>
    <row r="36" customFormat="false" ht="31.5" hidden="false" customHeight="true" outlineLevel="0" collapsed="false">
      <c r="A36" s="3" t="s">
        <v>47</v>
      </c>
      <c r="B36" s="14" t="s">
        <v>130</v>
      </c>
      <c r="C36" s="5" t="s">
        <v>131</v>
      </c>
      <c r="D36" s="3" t="s">
        <v>26</v>
      </c>
      <c r="E36" s="7" t="s">
        <v>27</v>
      </c>
      <c r="F36" s="5" t="s">
        <v>16</v>
      </c>
      <c r="G36" s="5" t="s">
        <v>17</v>
      </c>
      <c r="H36" s="3" t="n">
        <v>3</v>
      </c>
      <c r="I36" s="3" t="s">
        <v>42</v>
      </c>
      <c r="J36" s="3"/>
      <c r="K36" s="3" t="s">
        <v>132</v>
      </c>
    </row>
    <row r="37" customFormat="false" ht="31.5" hidden="false" customHeight="true" outlineLevel="0" collapsed="false">
      <c r="A37" s="3" t="s">
        <v>133</v>
      </c>
      <c r="B37" s="14" t="s">
        <v>130</v>
      </c>
      <c r="C37" s="3" t="s">
        <v>134</v>
      </c>
      <c r="D37" s="3" t="s">
        <v>46</v>
      </c>
      <c r="E37" s="8" t="s">
        <v>41</v>
      </c>
      <c r="F37" s="5" t="s">
        <v>16</v>
      </c>
      <c r="G37" s="5" t="s">
        <v>17</v>
      </c>
      <c r="H37" s="3" t="n">
        <v>1.5</v>
      </c>
      <c r="I37" s="3" t="s">
        <v>64</v>
      </c>
      <c r="J37" s="3" t="s">
        <v>47</v>
      </c>
      <c r="K37" s="3"/>
    </row>
    <row r="38" customFormat="false" ht="31.5" hidden="false" customHeight="true" outlineLevel="0" collapsed="false">
      <c r="A38" s="3" t="s">
        <v>135</v>
      </c>
      <c r="B38" s="15" t="s">
        <v>136</v>
      </c>
      <c r="C38" s="5" t="s">
        <v>137</v>
      </c>
      <c r="D38" s="3" t="s">
        <v>138</v>
      </c>
      <c r="E38" s="6" t="s">
        <v>15</v>
      </c>
      <c r="F38" s="5" t="s">
        <v>16</v>
      </c>
      <c r="G38" s="5" t="s">
        <v>17</v>
      </c>
      <c r="H38" s="3" t="n">
        <v>4</v>
      </c>
      <c r="I38" s="3" t="s">
        <v>18</v>
      </c>
      <c r="J38" s="3"/>
      <c r="K38" s="3" t="s">
        <v>36</v>
      </c>
    </row>
    <row r="39" customFormat="false" ht="31.5" hidden="false" customHeight="true" outlineLevel="0" collapsed="false">
      <c r="A39" s="3" t="s">
        <v>139</v>
      </c>
      <c r="B39" s="15" t="s">
        <v>136</v>
      </c>
      <c r="C39" s="5" t="s">
        <v>140</v>
      </c>
      <c r="D39" s="3" t="s">
        <v>138</v>
      </c>
      <c r="E39" s="7" t="s">
        <v>27</v>
      </c>
      <c r="F39" s="5" t="s">
        <v>16</v>
      </c>
      <c r="G39" s="5" t="s">
        <v>17</v>
      </c>
      <c r="H39" s="3" t="n">
        <v>2</v>
      </c>
      <c r="I39" s="3" t="s">
        <v>42</v>
      </c>
      <c r="J39" s="3"/>
      <c r="K39" s="3" t="s">
        <v>141</v>
      </c>
    </row>
    <row r="40" customFormat="false" ht="31.5" hidden="false" customHeight="true" outlineLevel="0" collapsed="false">
      <c r="A40" s="3" t="s">
        <v>142</v>
      </c>
      <c r="B40" s="15" t="s">
        <v>136</v>
      </c>
      <c r="C40" s="5" t="s">
        <v>143</v>
      </c>
      <c r="D40" s="3" t="s">
        <v>138</v>
      </c>
      <c r="E40" s="7" t="s">
        <v>27</v>
      </c>
      <c r="F40" s="5" t="s">
        <v>16</v>
      </c>
      <c r="G40" s="5" t="s">
        <v>17</v>
      </c>
      <c r="H40" s="3" t="n">
        <v>3</v>
      </c>
      <c r="I40" s="3" t="s">
        <v>42</v>
      </c>
      <c r="J40" s="3" t="s">
        <v>24</v>
      </c>
      <c r="K40" s="3" t="s">
        <v>36</v>
      </c>
    </row>
    <row r="41" customFormat="false" ht="31.5" hidden="false" customHeight="true" outlineLevel="0" collapsed="false">
      <c r="A41" s="3" t="s">
        <v>144</v>
      </c>
      <c r="B41" s="15" t="s">
        <v>136</v>
      </c>
      <c r="C41" s="3" t="s">
        <v>145</v>
      </c>
      <c r="D41" s="3" t="s">
        <v>138</v>
      </c>
      <c r="E41" s="7" t="s">
        <v>27</v>
      </c>
      <c r="F41" s="5" t="s">
        <v>16</v>
      </c>
      <c r="G41" s="5" t="s">
        <v>17</v>
      </c>
      <c r="H41" s="3" t="n">
        <v>1.5</v>
      </c>
      <c r="I41" s="3" t="s">
        <v>42</v>
      </c>
      <c r="J41" s="3" t="s">
        <v>24</v>
      </c>
      <c r="K41" s="3" t="s">
        <v>36</v>
      </c>
    </row>
    <row r="42" customFormat="false" ht="31.5" hidden="false" customHeight="true" outlineLevel="0" collapsed="false">
      <c r="A42" s="3" t="s">
        <v>146</v>
      </c>
      <c r="B42" s="15" t="s">
        <v>136</v>
      </c>
      <c r="C42" s="3" t="s">
        <v>147</v>
      </c>
      <c r="D42" s="3" t="s">
        <v>35</v>
      </c>
      <c r="E42" s="7" t="s">
        <v>27</v>
      </c>
      <c r="F42" s="5" t="s">
        <v>16</v>
      </c>
      <c r="G42" s="5" t="s">
        <v>17</v>
      </c>
      <c r="H42" s="3" t="n">
        <v>1.5</v>
      </c>
      <c r="I42" s="3" t="s">
        <v>42</v>
      </c>
      <c r="J42" s="3"/>
      <c r="K42" s="3" t="s">
        <v>148</v>
      </c>
    </row>
    <row r="43" customFormat="false" ht="31.5" hidden="false" customHeight="true" outlineLevel="0" collapsed="false">
      <c r="A43" s="3" t="s">
        <v>149</v>
      </c>
      <c r="B43" s="16" t="s">
        <v>150</v>
      </c>
      <c r="C43" s="5" t="s">
        <v>151</v>
      </c>
      <c r="D43" s="3" t="s">
        <v>152</v>
      </c>
      <c r="E43" s="7" t="s">
        <v>27</v>
      </c>
      <c r="F43" s="5" t="s">
        <v>77</v>
      </c>
      <c r="G43" s="5" t="s">
        <v>17</v>
      </c>
      <c r="H43" s="3" t="n">
        <v>0.5</v>
      </c>
      <c r="I43" s="3" t="s">
        <v>18</v>
      </c>
      <c r="J43" s="3"/>
      <c r="K43" s="3" t="s">
        <v>36</v>
      </c>
    </row>
    <row r="44" customFormat="false" ht="31.5" hidden="false" customHeight="true" outlineLevel="0" collapsed="false">
      <c r="A44" s="3" t="s">
        <v>153</v>
      </c>
      <c r="B44" s="16" t="s">
        <v>150</v>
      </c>
      <c r="C44" s="3" t="s">
        <v>154</v>
      </c>
      <c r="D44" s="3" t="s">
        <v>22</v>
      </c>
      <c r="E44" s="7" t="s">
        <v>27</v>
      </c>
      <c r="F44" s="5" t="s">
        <v>16</v>
      </c>
      <c r="G44" s="5" t="s">
        <v>17</v>
      </c>
      <c r="H44" s="3" t="n">
        <v>1.5</v>
      </c>
      <c r="I44" s="3" t="s">
        <v>42</v>
      </c>
      <c r="J44" s="3"/>
      <c r="K44" s="3"/>
    </row>
    <row r="45" customFormat="false" ht="31.5" hidden="false" customHeight="true" outlineLevel="0" collapsed="false">
      <c r="A45" s="3" t="s">
        <v>155</v>
      </c>
      <c r="B45" s="16" t="s">
        <v>150</v>
      </c>
      <c r="C45" s="3" t="s">
        <v>156</v>
      </c>
      <c r="D45" s="3" t="s">
        <v>31</v>
      </c>
      <c r="E45" s="8" t="s">
        <v>41</v>
      </c>
      <c r="F45" s="5" t="s">
        <v>16</v>
      </c>
      <c r="G45" s="5" t="s">
        <v>17</v>
      </c>
      <c r="H45" s="3" t="n">
        <v>0.3</v>
      </c>
      <c r="I45" s="3" t="s">
        <v>42</v>
      </c>
      <c r="J45" s="3"/>
      <c r="K45" s="3" t="s">
        <v>57</v>
      </c>
    </row>
  </sheetData>
  <dataValidations count="3">
    <dataValidation allowBlank="true" errorStyle="stop" operator="between" showDropDown="false" showErrorMessage="false" showInputMessage="false" sqref="G2:G45" type="list">
      <formula1>"未开始,进行中,待验收,已完成,暂缓"</formula1>
      <formula2>0</formula2>
    </dataValidation>
    <dataValidation allowBlank="true" errorStyle="stop" operator="between" showDropDown="false" showErrorMessage="false" showInputMessage="false" sqref="E2:E45" type="list">
      <formula1>"P0,P1,P2,P3"</formula1>
      <formula2>0</formula2>
    </dataValidation>
    <dataValidation allowBlank="true" errorStyle="stop" operator="between" showDropDown="false" showErrorMessage="false" showInputMessage="false" sqref="F2:F45" type="list">
      <formula1>"后端,前端,前端+后端,双方"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23.85" hidden="false" customHeight="false" outlineLevel="0" collapsed="false">
      <c r="A1" s="17" t="s">
        <v>157</v>
      </c>
      <c r="B1" s="17"/>
      <c r="C1" s="17"/>
      <c r="D1" s="17"/>
      <c r="E1" s="17"/>
    </row>
    <row r="3" customFormat="false" ht="17.15" hidden="false" customHeight="false" outlineLevel="0" collapsed="false">
      <c r="A3" s="18" t="s">
        <v>158</v>
      </c>
      <c r="D3" s="19" t="s">
        <v>159</v>
      </c>
      <c r="E3" s="20" t="n">
        <f aca="false">SUMIF(执行清单!I:I,"S1",执行清单!H:H)</f>
        <v>21.9</v>
      </c>
    </row>
    <row r="4" customFormat="false" ht="17.15" hidden="false" customHeight="false" outlineLevel="0" collapsed="false">
      <c r="A4" s="21" t="s">
        <v>4</v>
      </c>
      <c r="B4" s="21" t="s">
        <v>160</v>
      </c>
      <c r="C4" s="21" t="s">
        <v>161</v>
      </c>
      <c r="D4" s="19" t="s">
        <v>162</v>
      </c>
      <c r="E4" s="20" t="n">
        <f aca="false">SUMIF(执行清单!I:I,"S2",执行清单!H:H)</f>
        <v>27.3</v>
      </c>
    </row>
    <row r="5" customFormat="false" ht="17.15" hidden="false" customHeight="false" outlineLevel="0" collapsed="false">
      <c r="A5" s="19" t="s">
        <v>15</v>
      </c>
      <c r="B5" s="22" t="n">
        <f aca="false">COUNTIF(执行清单!E:E,"P0")</f>
        <v>8</v>
      </c>
      <c r="C5" s="23" t="n">
        <f aca="false">B5/SUM($B$5:$B$8)</f>
        <v>0.181818181818182</v>
      </c>
      <c r="D5" s="19" t="s">
        <v>163</v>
      </c>
      <c r="E5" s="20" t="n">
        <f aca="false">SUMIF(执行清单!I:I,"S3",执行清单!H:H)</f>
        <v>5.5</v>
      </c>
    </row>
    <row r="6" customFormat="false" ht="15" hidden="false" customHeight="false" outlineLevel="0" collapsed="false">
      <c r="A6" s="19" t="s">
        <v>27</v>
      </c>
      <c r="B6" s="22" t="n">
        <f aca="false">COUNTIF(执行清单!E:E,"P1")</f>
        <v>23</v>
      </c>
      <c r="C6" s="23" t="n">
        <f aca="false">B6/SUM($B$5:$B$8)</f>
        <v>0.522727272727273</v>
      </c>
      <c r="D6" s="24" t="s">
        <v>164</v>
      </c>
      <c r="E6" s="20" t="n">
        <f aca="false">COUNTA(执行清单!A:A)-1</f>
        <v>44</v>
      </c>
    </row>
    <row r="7" customFormat="false" ht="17.15" hidden="false" customHeight="false" outlineLevel="0" collapsed="false">
      <c r="A7" s="19" t="s">
        <v>41</v>
      </c>
      <c r="B7" s="22" t="n">
        <f aca="false">COUNTIF(执行清单!E:E,"P2")</f>
        <v>11</v>
      </c>
      <c r="C7" s="23" t="n">
        <f aca="false">B7/SUM($B$5:$B$8)</f>
        <v>0.25</v>
      </c>
      <c r="D7" s="24" t="s">
        <v>165</v>
      </c>
      <c r="E7" s="20" t="n">
        <f aca="false">SUM(执行清单!H:H)</f>
        <v>59.7</v>
      </c>
    </row>
    <row r="8" customFormat="false" ht="15" hidden="false" customHeight="false" outlineLevel="0" collapsed="false">
      <c r="A8" s="19" t="s">
        <v>63</v>
      </c>
      <c r="B8" s="22" t="n">
        <f aca="false">COUNTIF(执行清单!E:E,"P3")</f>
        <v>2</v>
      </c>
      <c r="C8" s="23" t="n">
        <f aca="false">B8/SUM($B$5:$B$8)</f>
        <v>0.0454545454545455</v>
      </c>
    </row>
    <row r="10" customFormat="false" ht="15" hidden="false" customHeight="false" outlineLevel="0" collapsed="false">
      <c r="A10" s="18" t="s">
        <v>166</v>
      </c>
    </row>
    <row r="11" customFormat="false" ht="15" hidden="false" customHeight="false" outlineLevel="0" collapsed="false">
      <c r="A11" s="25" t="s">
        <v>1</v>
      </c>
      <c r="B11" s="25" t="s">
        <v>160</v>
      </c>
    </row>
    <row r="12" customFormat="false" ht="15" hidden="false" customHeight="false" outlineLevel="0" collapsed="false">
      <c r="A12" s="0" t="s">
        <v>12</v>
      </c>
      <c r="B12" s="0" t="n">
        <f aca="false">COUNTIF(执行清单!B:B,"Event")</f>
        <v>13</v>
      </c>
    </row>
    <row r="13" customFormat="false" ht="15" hidden="false" customHeight="false" outlineLevel="0" collapsed="false">
      <c r="A13" s="0" t="s">
        <v>66</v>
      </c>
      <c r="B13" s="0" t="n">
        <f aca="false">COUNTIF(执行清单!B:B,"Map")</f>
        <v>6</v>
      </c>
    </row>
    <row r="14" customFormat="false" ht="15" hidden="false" customHeight="false" outlineLevel="0" collapsed="false">
      <c r="A14" s="0" t="s">
        <v>85</v>
      </c>
      <c r="B14" s="0" t="n">
        <f aca="false">COUNTIF(执行清单!B:B,"Community")</f>
        <v>7</v>
      </c>
    </row>
    <row r="15" customFormat="false" ht="15" hidden="false" customHeight="false" outlineLevel="0" collapsed="false">
      <c r="A15" s="0" t="s">
        <v>105</v>
      </c>
      <c r="B15" s="0" t="n">
        <f aca="false">COUNTIF(执行清单!B:B,"Search")</f>
        <v>3</v>
      </c>
    </row>
    <row r="16" customFormat="false" ht="15" hidden="false" customHeight="false" outlineLevel="0" collapsed="false">
      <c r="A16" s="0" t="s">
        <v>116</v>
      </c>
      <c r="B16" s="0" t="n">
        <f aca="false">COUNTIF(执行清单!B:B,"User/Auth")</f>
        <v>5</v>
      </c>
    </row>
    <row r="17" customFormat="false" ht="15" hidden="false" customHeight="false" outlineLevel="0" collapsed="false">
      <c r="A17" s="0" t="s">
        <v>130</v>
      </c>
      <c r="B17" s="0" t="n">
        <f aca="false">COUNTIF(执行清单!B:B,"Analytics")</f>
        <v>2</v>
      </c>
    </row>
    <row r="18" customFormat="false" ht="15" hidden="false" customHeight="false" outlineLevel="0" collapsed="false">
      <c r="A18" s="0" t="s">
        <v>136</v>
      </c>
      <c r="B18" s="0" t="n">
        <f aca="false">COUNTIF(执行清单!B:B,"Content")</f>
        <v>5</v>
      </c>
    </row>
    <row r="19" customFormat="false" ht="15" hidden="false" customHeight="false" outlineLevel="0" collapsed="false">
      <c r="A19" s="0" t="s">
        <v>150</v>
      </c>
      <c r="B19" s="0" t="n">
        <f aca="false">COUNTIF(执行清单!B:B,"Feedback")</f>
        <v>3</v>
      </c>
    </row>
    <row r="22" customFormat="false" ht="15" hidden="false" customHeight="false" outlineLevel="0" collapsed="false">
      <c r="A22" s="18" t="s">
        <v>167</v>
      </c>
    </row>
    <row r="23" customFormat="false" ht="15" hidden="false" customHeight="false" outlineLevel="0" collapsed="false">
      <c r="A23" s="26" t="s">
        <v>6</v>
      </c>
      <c r="B23" s="26" t="s">
        <v>160</v>
      </c>
    </row>
    <row r="24" customFormat="false" ht="15" hidden="false" customHeight="false" outlineLevel="0" collapsed="false">
      <c r="A24" s="27" t="s">
        <v>17</v>
      </c>
      <c r="B24" s="0" t="n">
        <f aca="false">COUNTIF(执行清单!G:G,"未开始")</f>
        <v>44</v>
      </c>
    </row>
    <row r="25" customFormat="false" ht="15" hidden="false" customHeight="false" outlineLevel="0" collapsed="false">
      <c r="A25" s="27" t="s">
        <v>168</v>
      </c>
      <c r="B25" s="0" t="n">
        <f aca="false">COUNTIF(执行清单!G:G,"进行中")</f>
        <v>0</v>
      </c>
    </row>
    <row r="26" customFormat="false" ht="15" hidden="false" customHeight="false" outlineLevel="0" collapsed="false">
      <c r="A26" s="27" t="s">
        <v>169</v>
      </c>
      <c r="B26" s="0" t="n">
        <f aca="false">COUNTIF(执行清单!G:G,"待验收")</f>
        <v>0</v>
      </c>
    </row>
    <row r="27" customFormat="false" ht="15" hidden="false" customHeight="false" outlineLevel="0" collapsed="false">
      <c r="A27" s="27" t="s">
        <v>170</v>
      </c>
      <c r="B27" s="0" t="n">
        <f aca="false">COUNTIF(执行清单!G:G,"已完成")</f>
        <v>0</v>
      </c>
    </row>
    <row r="28" customFormat="false" ht="15" hidden="false" customHeight="false" outlineLevel="0" collapsed="false">
      <c r="A28" s="27" t="s">
        <v>171</v>
      </c>
      <c r="B28" s="0" t="n">
        <f aca="false">COUNTIF(执行清单!G:G,"暂缓")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23.85" hidden="false" customHeight="false" outlineLevel="0" collapsed="false">
      <c r="A1" s="28" t="s">
        <v>172</v>
      </c>
      <c r="B1" s="28"/>
      <c r="C1" s="28"/>
      <c r="D1" s="28"/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24" t="s">
        <v>173</v>
      </c>
    </row>
    <row r="4" customFormat="false" ht="15" hidden="false" customHeight="false" outlineLevel="0" collapsed="false">
      <c r="A4" s="24" t="s">
        <v>174</v>
      </c>
    </row>
    <row r="5" customFormat="false" ht="15" hidden="false" customHeight="false" outlineLevel="0" collapsed="false">
      <c r="A5" s="24" t="s">
        <v>175</v>
      </c>
    </row>
    <row r="6" customFormat="false" ht="15" hidden="false" customHeight="false" outlineLevel="0" collapsed="false">
      <c r="A6" s="19"/>
    </row>
    <row r="7" customFormat="false" ht="17.15" hidden="false" customHeight="false" outlineLevel="0" collapsed="false">
      <c r="A7" s="24" t="s">
        <v>176</v>
      </c>
    </row>
    <row r="8" customFormat="false" ht="17.15" hidden="false" customHeight="false" outlineLevel="0" collapsed="false">
      <c r="A8" s="19"/>
      <c r="B8" s="27" t="s">
        <v>177</v>
      </c>
    </row>
    <row r="9" customFormat="false" ht="15" hidden="false" customHeight="false" outlineLevel="0" collapsed="false">
      <c r="A9" s="19"/>
    </row>
    <row r="10" customFormat="false" ht="15" hidden="false" customHeight="false" outlineLevel="0" collapsed="false">
      <c r="A10" s="19"/>
    </row>
    <row r="11" customFormat="false" ht="15" hidden="false" customHeight="false" outlineLevel="0" collapsed="false">
      <c r="A11" s="19"/>
    </row>
    <row r="12" customFormat="false" ht="15" hidden="false" customHeight="false" outlineLevel="0" collapsed="false">
      <c r="A12" s="19"/>
    </row>
    <row r="13" customFormat="false" ht="15" hidden="false" customHeight="false" outlineLevel="0" collapsed="false">
      <c r="A13" s="19"/>
    </row>
    <row r="14" customFormat="false" ht="15" hidden="false" customHeight="false" outlineLevel="0" collapsed="false">
      <c r="A14" s="24" t="s">
        <v>178</v>
      </c>
    </row>
    <row r="15" customFormat="false" ht="15" hidden="false" customHeight="false" outlineLevel="0" collapsed="false">
      <c r="A15" s="19"/>
      <c r="B15" s="22" t="s">
        <v>179</v>
      </c>
    </row>
    <row r="16" customFormat="false" ht="15" hidden="false" customHeight="false" outlineLevel="0" collapsed="false">
      <c r="A16" s="19"/>
      <c r="B16" s="22" t="s">
        <v>180</v>
      </c>
    </row>
    <row r="17" customFormat="false" ht="15" hidden="false" customHeight="false" outlineLevel="0" collapsed="false">
      <c r="A17" s="19"/>
      <c r="B17" s="22" t="s">
        <v>181</v>
      </c>
    </row>
    <row r="18" customFormat="false" ht="15" hidden="false" customHeight="false" outlineLevel="0" collapsed="false">
      <c r="A18" s="19"/>
    </row>
    <row r="19" customFormat="false" ht="17.15" hidden="false" customHeight="false" outlineLevel="0" collapsed="false">
      <c r="A19" s="24" t="s">
        <v>182</v>
      </c>
    </row>
    <row r="20" customFormat="false" ht="15" hidden="false" customHeight="false" outlineLevel="0" collapsed="false">
      <c r="A20" s="19"/>
      <c r="B20" s="22" t="s">
        <v>183</v>
      </c>
    </row>
    <row r="21" customFormat="false" ht="15" hidden="false" customHeight="false" outlineLevel="0" collapsed="false">
      <c r="A21" s="19"/>
      <c r="B21" s="22" t="s">
        <v>183</v>
      </c>
    </row>
    <row r="22" customFormat="false" ht="15" hidden="false" customHeight="false" outlineLevel="0" collapsed="false">
      <c r="A22" s="19"/>
    </row>
    <row r="23" customFormat="false" ht="15" hidden="false" customHeight="false" outlineLevel="0" collapsed="false">
      <c r="A23" s="19" t="s">
        <v>184</v>
      </c>
    </row>
    <row r="24" customFormat="false" ht="17.15" hidden="false" customHeight="false" outlineLevel="0" collapsed="false">
      <c r="A24" s="19"/>
      <c r="B24" s="27" t="s">
        <v>185</v>
      </c>
    </row>
    <row r="25" customFormat="false" ht="15" hidden="false" customHeight="false" outlineLevel="0" collapsed="false">
      <c r="A25" s="19"/>
      <c r="B25" s="22" t="s">
        <v>186</v>
      </c>
    </row>
    <row r="26" customFormat="false" ht="15" hidden="false" customHeight="false" outlineLevel="0" collapsed="false">
      <c r="A26" s="19"/>
      <c r="B26" s="22" t="s">
        <v>186</v>
      </c>
    </row>
    <row r="27" customFormat="false" ht="15" hidden="false" customHeight="false" outlineLevel="0" collapsed="false">
      <c r="A27" s="19"/>
    </row>
    <row r="28" customFormat="false" ht="15" hidden="false" customHeight="false" outlineLevel="0" collapsed="false">
      <c r="A28" s="24" t="s">
        <v>187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2026-04-24T23:09:12Z</dcterms:created>
  <dc:creator>openpyxl</dc:creator>
  <dc:description/>
  <dc:language>en-US</dc:language>
  <cp:lastModifiedBy/>
  <dcterms:modified xsi:type="dcterms:W3CDTF">2026-04-24T23:09:12Z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